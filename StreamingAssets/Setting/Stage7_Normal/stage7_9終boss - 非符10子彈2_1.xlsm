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E4CB589-DF19-4DF9-839D-3B60EC1E2CE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10shot2_1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26" i="1" l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D35" i="1"/>
  <c r="E34" i="1"/>
  <c r="E33" i="1"/>
  <c r="E32" i="1"/>
  <c r="E31" i="1"/>
  <c r="D31" i="1"/>
  <c r="B31" i="1"/>
  <c r="C31" i="1" s="1"/>
  <c r="M32" i="1" s="1"/>
  <c r="M34" i="1" s="1"/>
  <c r="D27" i="1"/>
  <c r="B27" i="1"/>
  <c r="C27" i="1" s="1"/>
  <c r="M28" i="1" s="1"/>
  <c r="E30" i="1"/>
  <c r="E25" i="1"/>
  <c r="E29" i="1"/>
  <c r="B35" i="1" l="1"/>
  <c r="C35" i="1"/>
  <c r="M36" i="1" s="1"/>
  <c r="M38" i="1" s="1"/>
  <c r="D43" i="1"/>
  <c r="D51" i="1"/>
  <c r="D39" i="1"/>
  <c r="D47" i="1"/>
  <c r="M30" i="1"/>
  <c r="B51" i="1" l="1"/>
  <c r="C51" i="1"/>
  <c r="M52" i="1" s="1"/>
  <c r="M54" i="1" s="1"/>
  <c r="C47" i="1"/>
  <c r="M48" i="1" s="1"/>
  <c r="M50" i="1" s="1"/>
  <c r="B47" i="1"/>
  <c r="B43" i="1"/>
  <c r="C43" i="1"/>
  <c r="M44" i="1" s="1"/>
  <c r="M46" i="1" s="1"/>
  <c r="D55" i="1"/>
  <c r="B39" i="1"/>
  <c r="C39" i="1" s="1"/>
  <c r="M40" i="1" s="1"/>
  <c r="M42" i="1" s="1"/>
  <c r="E26" i="1"/>
  <c r="E24" i="1"/>
  <c r="E22" i="1"/>
  <c r="E23" i="1"/>
  <c r="E21" i="1"/>
  <c r="E28" i="1"/>
  <c r="E27" i="1"/>
  <c r="E20" i="1"/>
  <c r="A18" i="1"/>
  <c r="B55" i="1" l="1"/>
  <c r="C55" i="1" s="1"/>
  <c r="M56" i="1" s="1"/>
  <c r="M58" i="1" s="1"/>
  <c r="D59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59" i="1" l="1"/>
  <c r="C59" i="1"/>
  <c r="M60" i="1" s="1"/>
  <c r="M62" i="1" s="1"/>
  <c r="D63" i="1"/>
  <c r="D75" i="1" l="1"/>
  <c r="B63" i="1"/>
  <c r="C63" i="1"/>
  <c r="M64" i="1" s="1"/>
  <c r="M66" i="1" s="1"/>
  <c r="D67" i="1"/>
  <c r="D71" i="1"/>
  <c r="B67" i="1" l="1"/>
  <c r="C67" i="1"/>
  <c r="M68" i="1" s="1"/>
  <c r="M70" i="1" s="1"/>
  <c r="D79" i="1"/>
  <c r="B75" i="1"/>
  <c r="C75" i="1" s="1"/>
  <c r="M76" i="1" s="1"/>
  <c r="M78" i="1" s="1"/>
  <c r="B71" i="1"/>
  <c r="C71" i="1"/>
  <c r="M72" i="1" s="1"/>
  <c r="M74" i="1" s="1"/>
  <c r="B79" i="1" l="1"/>
  <c r="C79" i="1" s="1"/>
  <c r="M80" i="1" s="1"/>
  <c r="M82" i="1" s="1"/>
  <c r="D83" i="1"/>
  <c r="B83" i="1" l="1"/>
  <c r="C83" i="1" s="1"/>
  <c r="M84" i="1" s="1"/>
  <c r="M86" i="1" s="1"/>
  <c r="D87" i="1"/>
  <c r="B87" i="1" l="1"/>
  <c r="C87" i="1" s="1"/>
  <c r="M88" i="1" s="1"/>
  <c r="M90" i="1" s="1"/>
  <c r="D91" i="1"/>
  <c r="B91" i="1" l="1"/>
  <c r="C91" i="1" s="1"/>
  <c r="M92" i="1" s="1"/>
  <c r="M94" i="1" s="1"/>
  <c r="D95" i="1"/>
  <c r="B95" i="1" l="1"/>
  <c r="C95" i="1" s="1"/>
  <c r="M96" i="1" s="1"/>
  <c r="M98" i="1" s="1"/>
  <c r="D99" i="1"/>
  <c r="B99" i="1" l="1"/>
  <c r="C99" i="1" s="1"/>
  <c r="M100" i="1" s="1"/>
  <c r="M102" i="1" s="1"/>
  <c r="D103" i="1"/>
  <c r="B103" i="1" l="1"/>
  <c r="C103" i="1" s="1"/>
  <c r="M104" i="1" s="1"/>
  <c r="M106" i="1" s="1"/>
  <c r="D107" i="1"/>
  <c r="B107" i="1" l="1"/>
  <c r="C107" i="1" s="1"/>
  <c r="M108" i="1" s="1"/>
  <c r="M110" i="1" s="1"/>
  <c r="D111" i="1"/>
  <c r="B111" i="1" l="1"/>
  <c r="C111" i="1" s="1"/>
  <c r="M112" i="1" s="1"/>
  <c r="M114" i="1" s="1"/>
  <c r="D115" i="1"/>
  <c r="B115" i="1" l="1"/>
  <c r="C115" i="1"/>
  <c r="M116" i="1" s="1"/>
  <c r="M118" i="1" s="1"/>
  <c r="D119" i="1"/>
  <c r="C119" i="1" l="1"/>
  <c r="M120" i="1" s="1"/>
  <c r="M122" i="1" s="1"/>
  <c r="B119" i="1"/>
  <c r="D123" i="1"/>
  <c r="B123" i="1" l="1"/>
  <c r="C123" i="1"/>
  <c r="M124" i="1" s="1"/>
  <c r="M126" i="1" s="1"/>
  <c r="D127" i="1"/>
  <c r="B127" i="1" l="1"/>
  <c r="C127" i="1" s="1"/>
  <c r="M128" i="1" s="1"/>
  <c r="M130" i="1" s="1"/>
  <c r="D131" i="1"/>
  <c r="B131" i="1" l="1"/>
  <c r="C131" i="1"/>
  <c r="M132" i="1" s="1"/>
  <c r="M134" i="1" s="1"/>
  <c r="D135" i="1"/>
  <c r="B135" i="1" l="1"/>
  <c r="C135" i="1" s="1"/>
  <c r="M136" i="1" s="1"/>
  <c r="M138" i="1" s="1"/>
  <c r="D139" i="1"/>
  <c r="B139" i="1" l="1"/>
  <c r="C139" i="1"/>
  <c r="M140" i="1" s="1"/>
  <c r="M142" i="1" s="1"/>
  <c r="D143" i="1"/>
  <c r="B143" i="1" l="1"/>
  <c r="C143" i="1" s="1"/>
  <c r="M144" i="1" s="1"/>
  <c r="M146" i="1" s="1"/>
  <c r="D147" i="1"/>
  <c r="B147" i="1" l="1"/>
  <c r="C147" i="1" s="1"/>
  <c r="M148" i="1" s="1"/>
  <c r="M150" i="1" s="1"/>
  <c r="D151" i="1"/>
  <c r="B151" i="1" l="1"/>
  <c r="C151" i="1" s="1"/>
  <c r="M152" i="1" s="1"/>
  <c r="M154" i="1" s="1"/>
  <c r="D155" i="1"/>
  <c r="B155" i="1" l="1"/>
  <c r="C155" i="1"/>
  <c r="M156" i="1" s="1"/>
  <c r="M158" i="1" s="1"/>
  <c r="D159" i="1"/>
  <c r="B159" i="1" l="1"/>
  <c r="C159" i="1" s="1"/>
  <c r="M160" i="1" s="1"/>
  <c r="M162" i="1" s="1"/>
  <c r="D163" i="1"/>
  <c r="B163" i="1" l="1"/>
  <c r="C163" i="1" s="1"/>
  <c r="M164" i="1" s="1"/>
  <c r="M166" i="1" s="1"/>
  <c r="D167" i="1"/>
  <c r="B167" i="1" l="1"/>
  <c r="C167" i="1"/>
  <c r="M168" i="1" s="1"/>
  <c r="M170" i="1" s="1"/>
  <c r="D171" i="1"/>
  <c r="B171" i="1" l="1"/>
  <c r="C171" i="1" s="1"/>
  <c r="M172" i="1" s="1"/>
  <c r="M174" i="1" s="1"/>
  <c r="D175" i="1"/>
  <c r="B175" i="1" l="1"/>
  <c r="C175" i="1" s="1"/>
  <c r="M176" i="1" s="1"/>
  <c r="M178" i="1" s="1"/>
  <c r="D179" i="1"/>
  <c r="B179" i="1" l="1"/>
  <c r="C179" i="1"/>
  <c r="M180" i="1" s="1"/>
  <c r="M182" i="1" s="1"/>
  <c r="D183" i="1"/>
  <c r="B183" i="1" l="1"/>
  <c r="C183" i="1" s="1"/>
  <c r="M184" i="1" s="1"/>
  <c r="M186" i="1" s="1"/>
  <c r="D187" i="1"/>
  <c r="B187" i="1" l="1"/>
  <c r="C187" i="1"/>
  <c r="M188" i="1" s="1"/>
  <c r="M190" i="1" s="1"/>
  <c r="D191" i="1"/>
  <c r="B191" i="1" l="1"/>
  <c r="C191" i="1" s="1"/>
  <c r="M192" i="1" s="1"/>
  <c r="M194" i="1" s="1"/>
  <c r="D195" i="1"/>
  <c r="B195" i="1" l="1"/>
  <c r="C195" i="1" s="1"/>
  <c r="M196" i="1" s="1"/>
  <c r="M198" i="1" s="1"/>
  <c r="D199" i="1"/>
  <c r="B199" i="1" l="1"/>
  <c r="C199" i="1" s="1"/>
  <c r="M200" i="1" s="1"/>
  <c r="M202" i="1" s="1"/>
  <c r="D203" i="1"/>
  <c r="B203" i="1" l="1"/>
  <c r="C203" i="1" s="1"/>
  <c r="M204" i="1" s="1"/>
  <c r="M206" i="1" s="1"/>
  <c r="D207" i="1"/>
  <c r="B207" i="1" l="1"/>
  <c r="C207" i="1" s="1"/>
  <c r="M208" i="1" s="1"/>
  <c r="M210" i="1" s="1"/>
  <c r="D211" i="1"/>
  <c r="B211" i="1" l="1"/>
  <c r="C211" i="1"/>
  <c r="M212" i="1" s="1"/>
  <c r="M214" i="1" s="1"/>
  <c r="D215" i="1"/>
  <c r="B215" i="1" l="1"/>
  <c r="C215" i="1" s="1"/>
  <c r="M216" i="1" s="1"/>
  <c r="M218" i="1" s="1"/>
  <c r="D219" i="1"/>
  <c r="B219" i="1" l="1"/>
  <c r="C219" i="1" s="1"/>
  <c r="M220" i="1" s="1"/>
  <c r="M222" i="1" s="1"/>
  <c r="D223" i="1"/>
  <c r="B223" i="1" l="1"/>
  <c r="C223" i="1"/>
  <c r="M224" i="1" s="1"/>
  <c r="M226" i="1" s="1"/>
  <c r="D227" i="1"/>
  <c r="B227" i="1" l="1"/>
  <c r="C227" i="1"/>
  <c r="M228" i="1" s="1"/>
  <c r="M230" i="1" s="1"/>
  <c r="D231" i="1"/>
  <c r="B231" i="1" l="1"/>
  <c r="C231" i="1" s="1"/>
  <c r="M232" i="1" s="1"/>
  <c r="M234" i="1" s="1"/>
  <c r="D235" i="1"/>
  <c r="B235" i="1" l="1"/>
  <c r="C235" i="1" s="1"/>
  <c r="M236" i="1" s="1"/>
  <c r="M238" i="1" s="1"/>
  <c r="D239" i="1"/>
  <c r="B239" i="1" l="1"/>
  <c r="C239" i="1" s="1"/>
  <c r="M240" i="1" s="1"/>
  <c r="M242" i="1" s="1"/>
  <c r="D243" i="1"/>
  <c r="B243" i="1" l="1"/>
  <c r="C243" i="1" s="1"/>
  <c r="M244" i="1" s="1"/>
  <c r="M246" i="1" s="1"/>
  <c r="D247" i="1"/>
  <c r="B247" i="1" l="1"/>
  <c r="C247" i="1" s="1"/>
  <c r="M248" i="1" s="1"/>
  <c r="M250" i="1" s="1"/>
  <c r="D251" i="1"/>
  <c r="B251" i="1" l="1"/>
  <c r="C251" i="1"/>
  <c r="M252" i="1" s="1"/>
  <c r="M254" i="1" s="1"/>
  <c r="D255" i="1"/>
  <c r="B255" i="1" l="1"/>
  <c r="C255" i="1" s="1"/>
  <c r="M256" i="1" s="1"/>
  <c r="M258" i="1" s="1"/>
  <c r="D259" i="1"/>
  <c r="B259" i="1" l="1"/>
  <c r="C259" i="1"/>
  <c r="M260" i="1" s="1"/>
  <c r="M262" i="1" s="1"/>
  <c r="D263" i="1"/>
  <c r="B263" i="1" l="1"/>
  <c r="C263" i="1" s="1"/>
  <c r="M264" i="1" s="1"/>
  <c r="M266" i="1" s="1"/>
  <c r="D267" i="1"/>
  <c r="B267" i="1" l="1"/>
  <c r="C267" i="1" s="1"/>
  <c r="M268" i="1" s="1"/>
  <c r="M270" i="1" s="1"/>
  <c r="D271" i="1"/>
  <c r="B271" i="1" l="1"/>
  <c r="C271" i="1" s="1"/>
  <c r="M272" i="1" s="1"/>
  <c r="M274" i="1" s="1"/>
  <c r="D275" i="1"/>
  <c r="B275" i="1" l="1"/>
  <c r="C275" i="1" s="1"/>
  <c r="M276" i="1" s="1"/>
  <c r="M278" i="1" s="1"/>
  <c r="D279" i="1"/>
  <c r="B279" i="1" l="1"/>
  <c r="C279" i="1" s="1"/>
  <c r="M280" i="1" s="1"/>
  <c r="M282" i="1" s="1"/>
  <c r="D283" i="1"/>
  <c r="B283" i="1" l="1"/>
  <c r="C283" i="1"/>
  <c r="M284" i="1" s="1"/>
  <c r="M286" i="1" s="1"/>
  <c r="D287" i="1"/>
  <c r="B287" i="1" l="1"/>
  <c r="C287" i="1" s="1"/>
  <c r="M288" i="1" s="1"/>
  <c r="M290" i="1" s="1"/>
  <c r="D291" i="1"/>
  <c r="B291" i="1" l="1"/>
  <c r="C291" i="1" s="1"/>
  <c r="M292" i="1" s="1"/>
  <c r="M294" i="1" s="1"/>
  <c r="D295" i="1"/>
  <c r="B295" i="1" l="1"/>
  <c r="C295" i="1" s="1"/>
  <c r="M296" i="1" s="1"/>
  <c r="M298" i="1" s="1"/>
  <c r="D299" i="1"/>
  <c r="B299" i="1" l="1"/>
  <c r="C299" i="1" s="1"/>
  <c r="M300" i="1" s="1"/>
  <c r="M302" i="1" s="1"/>
  <c r="D303" i="1"/>
  <c r="B303" i="1" l="1"/>
  <c r="C303" i="1" s="1"/>
  <c r="M304" i="1" s="1"/>
  <c r="M306" i="1" s="1"/>
  <c r="D307" i="1"/>
  <c r="B307" i="1" l="1"/>
  <c r="C307" i="1" s="1"/>
  <c r="M308" i="1" s="1"/>
  <c r="M310" i="1" s="1"/>
  <c r="D311" i="1"/>
  <c r="B311" i="1" l="1"/>
  <c r="C311" i="1" s="1"/>
  <c r="M312" i="1" s="1"/>
  <c r="M314" i="1" s="1"/>
  <c r="D315" i="1"/>
  <c r="B315" i="1" l="1"/>
  <c r="C315" i="1"/>
  <c r="M316" i="1" s="1"/>
  <c r="M318" i="1" s="1"/>
  <c r="D319" i="1"/>
  <c r="B319" i="1" l="1"/>
  <c r="C319" i="1" s="1"/>
  <c r="M320" i="1" s="1"/>
  <c r="M322" i="1" s="1"/>
  <c r="D323" i="1"/>
  <c r="B323" i="1" l="1"/>
  <c r="C323" i="1" s="1"/>
  <c r="M324" i="1" s="1"/>
  <c r="M326" i="1" s="1"/>
  <c r="D327" i="1"/>
  <c r="B327" i="1" l="1"/>
  <c r="C327" i="1" s="1"/>
  <c r="M328" i="1" s="1"/>
  <c r="M330" i="1" s="1"/>
  <c r="D331" i="1"/>
  <c r="B331" i="1" l="1"/>
  <c r="C331" i="1" s="1"/>
  <c r="M332" i="1" s="1"/>
  <c r="M334" i="1" s="1"/>
  <c r="D335" i="1"/>
  <c r="B335" i="1" l="1"/>
  <c r="C335" i="1" s="1"/>
  <c r="M336" i="1" s="1"/>
  <c r="M338" i="1" s="1"/>
  <c r="D339" i="1"/>
  <c r="B339" i="1" l="1"/>
  <c r="C339" i="1" s="1"/>
  <c r="M340" i="1" s="1"/>
  <c r="M342" i="1" s="1"/>
  <c r="D343" i="1"/>
  <c r="B343" i="1" l="1"/>
  <c r="C343" i="1" s="1"/>
  <c r="M344" i="1" s="1"/>
  <c r="M346" i="1" s="1"/>
  <c r="D347" i="1"/>
  <c r="B347" i="1" l="1"/>
  <c r="C347" i="1" s="1"/>
  <c r="M348" i="1" s="1"/>
  <c r="M350" i="1" s="1"/>
  <c r="D351" i="1"/>
  <c r="B351" i="1" l="1"/>
  <c r="C351" i="1" s="1"/>
  <c r="M352" i="1" s="1"/>
  <c r="M354" i="1" s="1"/>
  <c r="D355" i="1"/>
  <c r="B355" i="1" l="1"/>
  <c r="C355" i="1" s="1"/>
  <c r="M356" i="1" s="1"/>
  <c r="M358" i="1" s="1"/>
  <c r="D359" i="1"/>
  <c r="B359" i="1" l="1"/>
  <c r="C359" i="1"/>
  <c r="M360" i="1" s="1"/>
  <c r="M362" i="1" s="1"/>
  <c r="D363" i="1"/>
  <c r="B363" i="1" l="1"/>
  <c r="C363" i="1" s="1"/>
  <c r="M364" i="1" s="1"/>
  <c r="M366" i="1" s="1"/>
  <c r="D367" i="1"/>
  <c r="B367" i="1" l="1"/>
  <c r="C367" i="1" s="1"/>
  <c r="M368" i="1" s="1"/>
  <c r="M370" i="1" s="1"/>
  <c r="D371" i="1"/>
  <c r="B371" i="1" l="1"/>
  <c r="C371" i="1" s="1"/>
  <c r="M372" i="1" s="1"/>
  <c r="M374" i="1" s="1"/>
  <c r="D375" i="1"/>
  <c r="B375" i="1" l="1"/>
  <c r="C375" i="1" s="1"/>
  <c r="M376" i="1" s="1"/>
  <c r="M378" i="1" s="1"/>
  <c r="D379" i="1"/>
  <c r="B379" i="1" l="1"/>
  <c r="C379" i="1"/>
  <c r="M380" i="1" s="1"/>
  <c r="M382" i="1" s="1"/>
  <c r="D383" i="1"/>
  <c r="B383" i="1" l="1"/>
  <c r="C383" i="1" s="1"/>
  <c r="M384" i="1" s="1"/>
  <c r="M386" i="1" s="1"/>
  <c r="D387" i="1"/>
  <c r="B387" i="1" l="1"/>
  <c r="C387" i="1"/>
  <c r="M388" i="1" s="1"/>
  <c r="M390" i="1" s="1"/>
  <c r="D391" i="1"/>
  <c r="B391" i="1" l="1"/>
  <c r="C391" i="1" s="1"/>
  <c r="M392" i="1" s="1"/>
  <c r="M394" i="1" s="1"/>
  <c r="D395" i="1"/>
  <c r="B395" i="1" l="1"/>
  <c r="C395" i="1" s="1"/>
  <c r="M396" i="1" s="1"/>
  <c r="M398" i="1" s="1"/>
  <c r="D399" i="1"/>
  <c r="B399" i="1" l="1"/>
  <c r="C399" i="1"/>
  <c r="M400" i="1" s="1"/>
  <c r="M402" i="1" s="1"/>
  <c r="D403" i="1"/>
  <c r="B403" i="1" l="1"/>
  <c r="C403" i="1" s="1"/>
  <c r="M404" i="1" s="1"/>
  <c r="M406" i="1" s="1"/>
  <c r="D407" i="1"/>
  <c r="B407" i="1" l="1"/>
  <c r="C407" i="1" s="1"/>
  <c r="M408" i="1" s="1"/>
  <c r="M410" i="1" s="1"/>
  <c r="D411" i="1"/>
  <c r="B411" i="1" l="1"/>
  <c r="C411" i="1" s="1"/>
  <c r="M412" i="1" s="1"/>
  <c r="M414" i="1" s="1"/>
  <c r="D415" i="1"/>
  <c r="B415" i="1" l="1"/>
  <c r="C415" i="1" s="1"/>
  <c r="M416" i="1" s="1"/>
  <c r="M418" i="1" s="1"/>
  <c r="D419" i="1"/>
  <c r="B419" i="1" l="1"/>
  <c r="C419" i="1" s="1"/>
  <c r="M420" i="1" s="1"/>
  <c r="M422" i="1" s="1"/>
  <c r="D423" i="1"/>
  <c r="B423" i="1" l="1"/>
  <c r="C423" i="1" s="1"/>
  <c r="M424" i="1" s="1"/>
  <c r="M426" i="1" s="1"/>
  <c r="D427" i="1"/>
  <c r="B427" i="1" l="1"/>
  <c r="C427" i="1" s="1"/>
  <c r="M428" i="1" s="1"/>
  <c r="M430" i="1" s="1"/>
  <c r="D431" i="1"/>
  <c r="B431" i="1" l="1"/>
  <c r="C431" i="1" s="1"/>
  <c r="M432" i="1" s="1"/>
  <c r="M434" i="1" s="1"/>
  <c r="D435" i="1"/>
  <c r="B435" i="1" l="1"/>
  <c r="C435" i="1" s="1"/>
  <c r="M436" i="1" s="1"/>
  <c r="M438" i="1" s="1"/>
  <c r="D439" i="1"/>
  <c r="B439" i="1" l="1"/>
  <c r="C439" i="1" s="1"/>
  <c r="M440" i="1" s="1"/>
  <c r="M442" i="1" s="1"/>
  <c r="D443" i="1"/>
  <c r="B443" i="1" l="1"/>
  <c r="C443" i="1" s="1"/>
  <c r="M444" i="1" s="1"/>
  <c r="M446" i="1" s="1"/>
  <c r="D447" i="1"/>
  <c r="B447" i="1" l="1"/>
  <c r="C447" i="1" s="1"/>
  <c r="M448" i="1" s="1"/>
  <c r="M450" i="1" s="1"/>
  <c r="D451" i="1"/>
  <c r="B451" i="1" l="1"/>
  <c r="C451" i="1" s="1"/>
  <c r="M452" i="1" s="1"/>
  <c r="M454" i="1" s="1"/>
  <c r="D455" i="1"/>
  <c r="B455" i="1" l="1"/>
  <c r="C455" i="1" s="1"/>
  <c r="M456" i="1" s="1"/>
  <c r="M458" i="1" s="1"/>
  <c r="D459" i="1"/>
  <c r="B459" i="1" l="1"/>
  <c r="C459" i="1" s="1"/>
  <c r="M460" i="1" s="1"/>
  <c r="M462" i="1" s="1"/>
  <c r="D463" i="1"/>
  <c r="B463" i="1" l="1"/>
  <c r="C463" i="1" s="1"/>
  <c r="M464" i="1" s="1"/>
  <c r="M466" i="1" s="1"/>
  <c r="D467" i="1"/>
  <c r="B467" i="1" l="1"/>
  <c r="C467" i="1"/>
  <c r="M468" i="1" s="1"/>
  <c r="M470" i="1" s="1"/>
  <c r="D471" i="1"/>
  <c r="B471" i="1" l="1"/>
  <c r="C471" i="1" s="1"/>
  <c r="M472" i="1" s="1"/>
  <c r="M474" i="1" s="1"/>
  <c r="D475" i="1"/>
  <c r="B475" i="1" l="1"/>
  <c r="C475" i="1"/>
  <c r="M476" i="1" s="1"/>
  <c r="M478" i="1" s="1"/>
  <c r="D479" i="1"/>
  <c r="B479" i="1" l="1"/>
  <c r="C479" i="1" s="1"/>
  <c r="M480" i="1" s="1"/>
  <c r="M482" i="1" s="1"/>
  <c r="D483" i="1"/>
  <c r="B483" i="1" l="1"/>
  <c r="C483" i="1" s="1"/>
  <c r="M484" i="1" s="1"/>
  <c r="M486" i="1" s="1"/>
  <c r="D487" i="1"/>
  <c r="B487" i="1" l="1"/>
  <c r="C487" i="1" s="1"/>
  <c r="M488" i="1" s="1"/>
  <c r="M490" i="1" s="1"/>
  <c r="D491" i="1"/>
  <c r="B491" i="1" l="1"/>
  <c r="C491" i="1" s="1"/>
  <c r="M492" i="1" s="1"/>
  <c r="M494" i="1" s="1"/>
  <c r="D495" i="1"/>
  <c r="B495" i="1" l="1"/>
  <c r="C495" i="1" s="1"/>
  <c r="M496" i="1" s="1"/>
  <c r="M498" i="1" s="1"/>
  <c r="D499" i="1"/>
  <c r="B499" i="1" l="1"/>
  <c r="C499" i="1" s="1"/>
  <c r="M500" i="1" s="1"/>
  <c r="M502" i="1" s="1"/>
  <c r="D503" i="1"/>
  <c r="B503" i="1" l="1"/>
  <c r="C503" i="1" s="1"/>
  <c r="M504" i="1" s="1"/>
  <c r="M506" i="1" s="1"/>
  <c r="D507" i="1"/>
  <c r="B507" i="1" l="1"/>
  <c r="C507" i="1" s="1"/>
  <c r="M508" i="1" s="1"/>
  <c r="M510" i="1" s="1"/>
  <c r="D511" i="1"/>
  <c r="B511" i="1" l="1"/>
  <c r="C511" i="1"/>
  <c r="M512" i="1" s="1"/>
  <c r="M514" i="1" s="1"/>
  <c r="D515" i="1"/>
  <c r="B515" i="1" l="1"/>
  <c r="C515" i="1" s="1"/>
  <c r="M516" i="1" s="1"/>
  <c r="M518" i="1" s="1"/>
  <c r="D519" i="1"/>
  <c r="B519" i="1" l="1"/>
  <c r="C519" i="1" s="1"/>
  <c r="M520" i="1" s="1"/>
  <c r="M522" i="1" s="1"/>
  <c r="D523" i="1"/>
  <c r="B523" i="1" l="1"/>
  <c r="C523" i="1" s="1"/>
  <c r="M524" i="1" s="1"/>
  <c r="M526" i="1" s="1"/>
  <c r="D527" i="1"/>
  <c r="B527" i="1" l="1"/>
  <c r="C527" i="1" s="1"/>
  <c r="M528" i="1" s="1"/>
  <c r="M530" i="1" s="1"/>
  <c r="D531" i="1"/>
  <c r="B531" i="1" l="1"/>
  <c r="C531" i="1" s="1"/>
  <c r="M532" i="1" s="1"/>
  <c r="M534" i="1" s="1"/>
  <c r="D535" i="1"/>
  <c r="B535" i="1" l="1"/>
  <c r="C535" i="1" s="1"/>
  <c r="M536" i="1" s="1"/>
  <c r="M538" i="1" s="1"/>
  <c r="D539" i="1"/>
  <c r="B539" i="1" l="1"/>
  <c r="C539" i="1" s="1"/>
  <c r="M540" i="1" s="1"/>
  <c r="M542" i="1" s="1"/>
  <c r="D543" i="1"/>
  <c r="B543" i="1" l="1"/>
  <c r="C543" i="1" s="1"/>
  <c r="M544" i="1" s="1"/>
  <c r="M546" i="1" s="1"/>
  <c r="D547" i="1"/>
  <c r="B547" i="1" l="1"/>
  <c r="C547" i="1" s="1"/>
  <c r="M548" i="1" s="1"/>
  <c r="M550" i="1" s="1"/>
  <c r="D551" i="1"/>
  <c r="B551" i="1" l="1"/>
  <c r="C551" i="1" s="1"/>
  <c r="M552" i="1" s="1"/>
  <c r="M554" i="1" s="1"/>
  <c r="D555" i="1"/>
  <c r="B555" i="1" l="1"/>
  <c r="C555" i="1" s="1"/>
  <c r="M556" i="1" s="1"/>
  <c r="M558" i="1" s="1"/>
  <c r="D559" i="1"/>
  <c r="B559" i="1" l="1"/>
  <c r="C559" i="1"/>
  <c r="M560" i="1" s="1"/>
  <c r="M562" i="1" s="1"/>
  <c r="D563" i="1"/>
  <c r="B563" i="1" l="1"/>
  <c r="C563" i="1" s="1"/>
  <c r="M564" i="1" s="1"/>
  <c r="M566" i="1" s="1"/>
  <c r="D567" i="1"/>
  <c r="B567" i="1" l="1"/>
  <c r="C567" i="1" s="1"/>
  <c r="M568" i="1" s="1"/>
  <c r="M570" i="1" s="1"/>
  <c r="D571" i="1"/>
  <c r="B571" i="1" l="1"/>
  <c r="C571" i="1"/>
  <c r="M572" i="1" s="1"/>
  <c r="M574" i="1" s="1"/>
  <c r="D575" i="1"/>
  <c r="B575" i="1" l="1"/>
  <c r="C575" i="1" s="1"/>
  <c r="M576" i="1" s="1"/>
  <c r="M578" i="1" s="1"/>
  <c r="D579" i="1"/>
  <c r="B579" i="1" l="1"/>
  <c r="C579" i="1" s="1"/>
  <c r="M580" i="1" s="1"/>
  <c r="M582" i="1" s="1"/>
  <c r="D583" i="1"/>
  <c r="B583" i="1" l="1"/>
  <c r="C583" i="1" s="1"/>
  <c r="M584" i="1" s="1"/>
  <c r="M586" i="1" s="1"/>
  <c r="D587" i="1"/>
  <c r="B587" i="1" l="1"/>
  <c r="C587" i="1" s="1"/>
  <c r="M588" i="1" s="1"/>
  <c r="M590" i="1" s="1"/>
  <c r="D591" i="1"/>
  <c r="C591" i="1" l="1"/>
  <c r="M592" i="1" s="1"/>
  <c r="M594" i="1" s="1"/>
  <c r="B591" i="1"/>
  <c r="D595" i="1"/>
  <c r="B595" i="1" l="1"/>
  <c r="C595" i="1" s="1"/>
  <c r="M596" i="1" s="1"/>
  <c r="M598" i="1" s="1"/>
  <c r="D599" i="1"/>
  <c r="B599" i="1" l="1"/>
  <c r="C599" i="1" s="1"/>
  <c r="M600" i="1" s="1"/>
  <c r="M602" i="1" s="1"/>
  <c r="D603" i="1"/>
  <c r="B603" i="1" l="1"/>
  <c r="C603" i="1" s="1"/>
  <c r="M604" i="1" s="1"/>
  <c r="M606" i="1" s="1"/>
  <c r="D607" i="1"/>
  <c r="C607" i="1" l="1"/>
  <c r="M608" i="1" s="1"/>
  <c r="M610" i="1" s="1"/>
  <c r="B607" i="1"/>
  <c r="D611" i="1"/>
  <c r="B611" i="1" l="1"/>
  <c r="C611" i="1" s="1"/>
  <c r="M612" i="1" s="1"/>
  <c r="M614" i="1" s="1"/>
  <c r="D615" i="1"/>
  <c r="C615" i="1" l="1"/>
  <c r="M616" i="1" s="1"/>
  <c r="M618" i="1" s="1"/>
  <c r="B615" i="1"/>
  <c r="D619" i="1"/>
  <c r="B619" i="1" l="1"/>
  <c r="C619" i="1" s="1"/>
  <c r="M620" i="1" s="1"/>
  <c r="M622" i="1" s="1"/>
  <c r="D623" i="1"/>
  <c r="C623" i="1" l="1"/>
  <c r="M624" i="1" s="1"/>
  <c r="M626" i="1" s="1"/>
  <c r="B623" i="1"/>
  <c r="D627" i="1"/>
  <c r="B627" i="1" l="1"/>
  <c r="C627" i="1" s="1"/>
  <c r="M628" i="1" s="1"/>
  <c r="M630" i="1" s="1"/>
  <c r="D631" i="1"/>
  <c r="B631" i="1" l="1"/>
  <c r="C631" i="1" s="1"/>
  <c r="M632" i="1" s="1"/>
  <c r="M634" i="1" s="1"/>
  <c r="D635" i="1"/>
  <c r="B635" i="1" l="1"/>
  <c r="C635" i="1" s="1"/>
  <c r="M636" i="1" s="1"/>
  <c r="M638" i="1" s="1"/>
  <c r="D639" i="1"/>
  <c r="C639" i="1" l="1"/>
  <c r="M640" i="1" s="1"/>
  <c r="M642" i="1" s="1"/>
  <c r="B639" i="1"/>
  <c r="D643" i="1"/>
  <c r="B643" i="1" l="1"/>
  <c r="C643" i="1" s="1"/>
  <c r="M644" i="1" s="1"/>
  <c r="M646" i="1" s="1"/>
  <c r="D647" i="1"/>
  <c r="C647" i="1" l="1"/>
  <c r="M648" i="1" s="1"/>
  <c r="M650" i="1" s="1"/>
  <c r="B647" i="1"/>
  <c r="D651" i="1"/>
  <c r="B651" i="1" l="1"/>
  <c r="C651" i="1" s="1"/>
  <c r="M652" i="1" s="1"/>
  <c r="M654" i="1" s="1"/>
  <c r="D655" i="1"/>
  <c r="C655" i="1" l="1"/>
  <c r="M656" i="1" s="1"/>
  <c r="M658" i="1" s="1"/>
  <c r="B655" i="1"/>
  <c r="D659" i="1"/>
  <c r="B659" i="1" l="1"/>
  <c r="C659" i="1" s="1"/>
  <c r="M660" i="1" s="1"/>
  <c r="M662" i="1" s="1"/>
  <c r="D663" i="1"/>
  <c r="C663" i="1" l="1"/>
  <c r="M664" i="1" s="1"/>
  <c r="M666" i="1" s="1"/>
  <c r="B663" i="1"/>
  <c r="D667" i="1"/>
  <c r="B667" i="1" l="1"/>
  <c r="C667" i="1" s="1"/>
  <c r="M668" i="1" s="1"/>
  <c r="M670" i="1" s="1"/>
  <c r="D671" i="1"/>
  <c r="B671" i="1" l="1"/>
  <c r="C671" i="1" s="1"/>
  <c r="M672" i="1" s="1"/>
  <c r="M674" i="1" s="1"/>
  <c r="D675" i="1"/>
  <c r="B675" i="1" l="1"/>
  <c r="C675" i="1" s="1"/>
  <c r="M676" i="1" s="1"/>
  <c r="M678" i="1" s="1"/>
  <c r="D679" i="1"/>
  <c r="B679" i="1" l="1"/>
  <c r="C679" i="1" s="1"/>
  <c r="M680" i="1" s="1"/>
  <c r="M682" i="1" s="1"/>
  <c r="D683" i="1"/>
  <c r="B683" i="1" l="1"/>
  <c r="C683" i="1" s="1"/>
  <c r="M684" i="1" s="1"/>
  <c r="M686" i="1" s="1"/>
  <c r="D687" i="1"/>
  <c r="B687" i="1" l="1"/>
  <c r="C687" i="1" s="1"/>
  <c r="M688" i="1" s="1"/>
  <c r="M690" i="1" s="1"/>
  <c r="D691" i="1"/>
  <c r="B691" i="1" l="1"/>
  <c r="C691" i="1" s="1"/>
  <c r="M692" i="1" s="1"/>
  <c r="M694" i="1" s="1"/>
  <c r="D695" i="1"/>
  <c r="B695" i="1" l="1"/>
  <c r="C695" i="1" s="1"/>
  <c r="M696" i="1" s="1"/>
  <c r="M698" i="1" s="1"/>
  <c r="D699" i="1"/>
  <c r="B699" i="1" l="1"/>
  <c r="C699" i="1" s="1"/>
  <c r="M700" i="1" s="1"/>
  <c r="M702" i="1" s="1"/>
  <c r="D703" i="1"/>
  <c r="B703" i="1" l="1"/>
  <c r="C703" i="1" s="1"/>
  <c r="M704" i="1" s="1"/>
  <c r="M706" i="1" s="1"/>
  <c r="D707" i="1"/>
  <c r="B707" i="1" l="1"/>
  <c r="C707" i="1"/>
  <c r="M708" i="1" s="1"/>
  <c r="M710" i="1" s="1"/>
  <c r="D711" i="1"/>
  <c r="B711" i="1" l="1"/>
  <c r="C711" i="1" s="1"/>
  <c r="M712" i="1" s="1"/>
  <c r="M714" i="1" s="1"/>
  <c r="D715" i="1"/>
  <c r="B715" i="1" l="1"/>
  <c r="C715" i="1" s="1"/>
  <c r="M716" i="1" s="1"/>
  <c r="M718" i="1" s="1"/>
  <c r="D719" i="1"/>
  <c r="B719" i="1" l="1"/>
  <c r="C719" i="1" s="1"/>
  <c r="M720" i="1" s="1"/>
  <c r="M722" i="1" s="1"/>
  <c r="D723" i="1"/>
  <c r="B723" i="1" l="1"/>
  <c r="C723" i="1" s="1"/>
  <c r="M724" i="1" s="1"/>
  <c r="M726" i="1" s="1"/>
  <c r="D727" i="1"/>
  <c r="B727" i="1" l="1"/>
  <c r="C727" i="1" s="1"/>
  <c r="M728" i="1" s="1"/>
  <c r="M730" i="1" s="1"/>
  <c r="D731" i="1"/>
  <c r="B731" i="1" l="1"/>
  <c r="C731" i="1" s="1"/>
  <c r="M732" i="1" s="1"/>
  <c r="M734" i="1" s="1"/>
  <c r="D735" i="1"/>
  <c r="B735" i="1" l="1"/>
  <c r="C735" i="1" s="1"/>
  <c r="M736" i="1" s="1"/>
  <c r="M738" i="1" s="1"/>
  <c r="D739" i="1"/>
  <c r="B739" i="1" l="1"/>
  <c r="C739" i="1" s="1"/>
  <c r="M740" i="1" s="1"/>
  <c r="M742" i="1" s="1"/>
  <c r="D743" i="1"/>
  <c r="B743" i="1" l="1"/>
  <c r="C743" i="1" s="1"/>
  <c r="M744" i="1" s="1"/>
  <c r="M746" i="1" s="1"/>
  <c r="D747" i="1"/>
  <c r="B747" i="1" l="1"/>
  <c r="C747" i="1" s="1"/>
  <c r="M748" i="1" s="1"/>
  <c r="M750" i="1" s="1"/>
  <c r="D751" i="1"/>
  <c r="B751" i="1" l="1"/>
  <c r="C751" i="1" s="1"/>
  <c r="M752" i="1" s="1"/>
  <c r="M754" i="1" s="1"/>
  <c r="D755" i="1"/>
  <c r="B755" i="1" l="1"/>
  <c r="C755" i="1" s="1"/>
  <c r="M756" i="1" s="1"/>
  <c r="M758" i="1" s="1"/>
  <c r="D759" i="1"/>
  <c r="B759" i="1" l="1"/>
  <c r="C759" i="1" s="1"/>
  <c r="M760" i="1" s="1"/>
  <c r="M762" i="1" s="1"/>
  <c r="D763" i="1"/>
  <c r="B763" i="1" l="1"/>
  <c r="C763" i="1" s="1"/>
  <c r="M764" i="1" s="1"/>
  <c r="M766" i="1" s="1"/>
  <c r="D767" i="1"/>
  <c r="B767" i="1" l="1"/>
  <c r="C767" i="1" s="1"/>
  <c r="M768" i="1" s="1"/>
  <c r="M770" i="1" s="1"/>
  <c r="D771" i="1"/>
  <c r="B771" i="1" l="1"/>
  <c r="C771" i="1" s="1"/>
  <c r="M772" i="1" s="1"/>
  <c r="M774" i="1" s="1"/>
  <c r="D775" i="1"/>
  <c r="B775" i="1" l="1"/>
  <c r="C775" i="1" s="1"/>
  <c r="M776" i="1" s="1"/>
  <c r="M778" i="1" s="1"/>
  <c r="D779" i="1"/>
  <c r="B779" i="1" l="1"/>
  <c r="C779" i="1" s="1"/>
  <c r="M780" i="1" s="1"/>
  <c r="M782" i="1" s="1"/>
  <c r="D783" i="1"/>
  <c r="B783" i="1" l="1"/>
  <c r="C783" i="1" s="1"/>
  <c r="M784" i="1" s="1"/>
  <c r="M786" i="1" s="1"/>
  <c r="D787" i="1"/>
  <c r="B787" i="1" l="1"/>
  <c r="C787" i="1" s="1"/>
  <c r="M788" i="1" s="1"/>
  <c r="M790" i="1" s="1"/>
  <c r="D791" i="1"/>
  <c r="B791" i="1" l="1"/>
  <c r="C791" i="1" s="1"/>
  <c r="M792" i="1" s="1"/>
  <c r="M794" i="1" s="1"/>
  <c r="D795" i="1"/>
  <c r="B795" i="1" l="1"/>
  <c r="C795" i="1"/>
  <c r="M796" i="1" s="1"/>
  <c r="M798" i="1" s="1"/>
  <c r="D799" i="1"/>
  <c r="B799" i="1" l="1"/>
  <c r="C799" i="1" s="1"/>
  <c r="M800" i="1" s="1"/>
  <c r="M802" i="1" s="1"/>
  <c r="D803" i="1"/>
  <c r="B803" i="1" l="1"/>
  <c r="C803" i="1" s="1"/>
  <c r="M804" i="1" s="1"/>
  <c r="M806" i="1" s="1"/>
  <c r="D807" i="1"/>
  <c r="B807" i="1" l="1"/>
  <c r="C807" i="1" s="1"/>
  <c r="M808" i="1" s="1"/>
  <c r="M810" i="1" s="1"/>
  <c r="D811" i="1"/>
  <c r="B811" i="1" l="1"/>
  <c r="C811" i="1" s="1"/>
  <c r="M812" i="1" s="1"/>
  <c r="M814" i="1" s="1"/>
  <c r="D815" i="1"/>
  <c r="B815" i="1" l="1"/>
  <c r="C815" i="1" s="1"/>
  <c r="M816" i="1" s="1"/>
  <c r="M818" i="1" s="1"/>
  <c r="D819" i="1"/>
  <c r="B819" i="1" l="1"/>
  <c r="C819" i="1" s="1"/>
  <c r="M820" i="1" s="1"/>
  <c r="M822" i="1" s="1"/>
  <c r="D823" i="1"/>
  <c r="B823" i="1" l="1"/>
  <c r="C823" i="1" s="1"/>
  <c r="M824" i="1" s="1"/>
  <c r="M826" i="1" s="1"/>
</calcChain>
</file>

<file path=xl/sharedStrings.xml><?xml version="1.0" encoding="utf-8"?>
<sst xmlns="http://schemas.openxmlformats.org/spreadsheetml/2006/main" count="1448" uniqueCount="250">
  <si>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</si>
  <si>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</si>
  <si>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</si>
  <si>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</si>
  <si>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</si>
  <si>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</si>
  <si>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</si>
  <si>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</si>
  <si>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</si>
  <si>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</si>
  <si>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</si>
  <si>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</si>
  <si>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</si>
  <si>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</si>
  <si>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</si>
  <si>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</si>
  <si>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</si>
  <si>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</si>
  <si>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</si>
  <si>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</si>
  <si>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</si>
  <si>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</si>
  <si>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</si>
  <si>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</si>
  <si>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</si>
  <si>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</si>
  <si>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</si>
  <si>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</si>
  <si>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</si>
  <si>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</si>
  <si>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</si>
  <si>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</si>
  <si>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</si>
  <si>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</si>
  <si>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</si>
  <si>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</si>
  <si>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</si>
  <si>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</si>
  <si>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</si>
  <si>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</si>
  <si>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</si>
  <si>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</si>
  <si>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</si>
  <si>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</si>
  <si>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</si>
  <si>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</si>
  <si>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</si>
  <si>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</si>
  <si>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</si>
  <si>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</si>
  <si>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</si>
  <si>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</si>
  <si>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</si>
  <si>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</si>
  <si>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</si>
  <si>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</si>
  <si>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</si>
  <si>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</si>
  <si>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</si>
  <si>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</si>
  <si>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</si>
  <si>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</si>
  <si>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</si>
  <si>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</si>
  <si>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</si>
  <si>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</si>
  <si>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</si>
  <si>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</si>
  <si>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</si>
  <si>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</si>
  <si>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</si>
  <si>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</si>
  <si>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</si>
  <si>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</si>
  <si>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</si>
  <si>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</si>
  <si>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</si>
  <si>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</si>
  <si>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</si>
  <si>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</si>
  <si>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</si>
  <si>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</si>
  <si>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</si>
  <si>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</si>
  <si>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</si>
  <si>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</si>
  <si>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</si>
  <si>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</si>
  <si>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</si>
  <si>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</si>
  <si>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</si>
  <si>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</si>
  <si>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</si>
  <si>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</si>
  <si>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</si>
  <si>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</si>
  <si>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</si>
  <si>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</si>
  <si>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</si>
  <si>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</si>
  <si>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</si>
  <si>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</si>
  <si>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</si>
  <si>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</si>
  <si>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</si>
  <si>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</si>
  <si>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</si>
  <si>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</si>
  <si>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</si>
  <si>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</si>
  <si>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</si>
  <si>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</si>
  <si>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</si>
  <si>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</si>
  <si>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</si>
  <si>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</si>
  <si>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</si>
  <si>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</si>
  <si>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</si>
  <si>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</si>
  <si>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</si>
  <si>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</si>
  <si>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</si>
  <si>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</si>
  <si>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</si>
  <si>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</si>
  <si>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</si>
  <si>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</si>
  <si>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</si>
  <si>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</si>
  <si>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</si>
  <si>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</si>
  <si>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</si>
  <si>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</si>
  <si>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</si>
  <si>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</si>
  <si>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</si>
  <si>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</si>
  <si>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</si>
  <si>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</si>
  <si>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</si>
  <si>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</si>
  <si>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</si>
  <si>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</si>
  <si>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</si>
  <si>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</si>
  <si>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</si>
  <si>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</si>
  <si>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</si>
  <si>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</si>
  <si>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</si>
  <si>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</si>
  <si>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</si>
  <si>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</si>
  <si>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</si>
  <si>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</si>
  <si>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</si>
  <si>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</si>
  <si>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</si>
  <si>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</si>
  <si>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</si>
  <si>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</si>
  <si>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</si>
  <si>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</si>
  <si>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</si>
  <si>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</si>
  <si>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</si>
  <si>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</si>
  <si>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</si>
  <si>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</si>
  <si>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</si>
  <si>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</si>
  <si>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</si>
  <si>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</si>
  <si>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</si>
  <si>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</si>
  <si>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</si>
  <si>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</si>
  <si>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</si>
  <si>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</si>
  <si>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</si>
  <si>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</si>
  <si>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</si>
  <si>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</si>
  <si>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</si>
  <si>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</si>
  <si>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</si>
  <si>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</si>
  <si>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</si>
  <si>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</si>
  <si>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</si>
  <si>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</si>
  <si>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</si>
  <si>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</si>
  <si>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</si>
  <si>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</si>
  <si>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</si>
  <si>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</si>
  <si>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</si>
  <si>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</si>
  <si>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</si>
  <si>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</si>
  <si>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</si>
  <si>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</si>
  <si>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</si>
  <si>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</si>
  <si>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</si>
  <si>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</si>
  <si>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</si>
  <si>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</si>
  <si>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</si>
  <si>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</si>
  <si>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</si>
  <si>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</si>
  <si>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</si>
  <si>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</si>
  <si>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</si>
  <si>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</si>
  <si>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</si>
  <si>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</si>
  <si>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</si>
  <si>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</si>
  <si>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</si>
  <si>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</si>
  <si>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</si>
  <si>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</si>
  <si>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</si>
  <si>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</si>
  <si>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</si>
  <si>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</si>
  <si>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</si>
  <si>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</si>
  <si>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</si>
  <si>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</si>
  <si>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</si>
  <si>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</si>
  <si>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</si>
  <si>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</si>
  <si>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</si>
  <si>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</si>
  <si>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</si>
  <si>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</si>
  <si>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</si>
  <si>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</si>
  <si>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</si>
  <si>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</si>
  <si>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</si>
  <si>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</si>
  <si>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</si>
  <si>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Shot2_purple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</si>
</sst>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0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826"/>
  <sheetViews>
    <sheetView tabSelected="1" zoomScale="115" zoomScaleNormal="115" workbookViewId="0">
      <pane ySplit="1" topLeftCell="A21" activePane="bottomLeft" state="frozen"/>
      <selection pane="bottomLeft" activeCell="J38" sqref="J38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R13" s="12"/>
      <c r="S13" s="9"/>
      <c r="U13" s="12"/>
      <c r="X13" s="15"/>
      <c r="AE13" s="16"/>
      <c r="BH13" s="9"/>
    </row>
    <row r="18" spans="1:60">
      <c r="A18" s="21">
        <f>G20*H20</f>
        <v>200</v>
      </c>
      <c r="B18" s="9"/>
      <c r="C18" s="9"/>
      <c r="D18" s="9"/>
      <c r="R18" s="12"/>
      <c r="S18" s="9"/>
      <c r="U18" s="12"/>
      <c r="X18" s="15"/>
      <c r="AE18" s="16"/>
      <c r="BH18" s="9"/>
    </row>
    <row r="19" spans="1:60">
      <c r="A19" s="9" t="s">
        <v>228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>ROW(E20)</f>
        <v>20</v>
      </c>
      <c r="F20" s="9" t="s">
        <v>93</v>
      </c>
      <c r="G20" s="21">
        <v>200</v>
      </c>
      <c r="H20" s="21">
        <v>1</v>
      </c>
      <c r="J20" s="21"/>
      <c r="M20" s="21">
        <v>18000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>ROW(E21)</f>
        <v>21</v>
      </c>
      <c r="F21" s="9" t="s">
        <v>96</v>
      </c>
      <c r="M21" s="21" t="s">
        <v>248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>ROW(E22)</f>
        <v>22</v>
      </c>
      <c r="F22" s="9" t="s">
        <v>119</v>
      </c>
      <c r="M22" s="21" t="s">
        <v>249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>ROW(E23)</f>
        <v>23</v>
      </c>
      <c r="F23" s="9" t="s">
        <v>99</v>
      </c>
      <c r="G23" s="26"/>
      <c r="H23" s="28"/>
      <c r="I23" s="27"/>
      <c r="J23" s="27"/>
      <c r="K23" s="9" t="s">
        <v>138</v>
      </c>
      <c r="M23" s="27">
        <v>2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ref="E24:E26" si="0">ROW(E24)</f>
        <v>24</v>
      </c>
      <c r="F24" s="9" t="s">
        <v>31</v>
      </c>
      <c r="G24" s="9"/>
      <c r="H24" s="9"/>
      <c r="I24" s="9"/>
      <c r="L24" s="9" t="s">
        <v>223</v>
      </c>
      <c r="M24" s="27">
        <v>2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115</v>
      </c>
      <c r="G25" s="9"/>
      <c r="H25" s="9"/>
      <c r="I25" s="9"/>
      <c r="M25" s="27" t="b">
        <v>1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116</v>
      </c>
      <c r="G26" s="9"/>
      <c r="H26" s="9"/>
      <c r="I26" s="9"/>
      <c r="M26" s="27">
        <v>0.5</v>
      </c>
      <c r="R26" s="12"/>
      <c r="S26" s="9"/>
      <c r="U26" s="12"/>
      <c r="X26" s="15"/>
      <c r="AE26" s="16"/>
      <c r="BH26" s="9"/>
    </row>
    <row r="27" spans="1:60">
      <c r="B27" s="21">
        <f>QUOTIENT( D27-1,$G$20)+1</f>
        <v>1</v>
      </c>
      <c r="C27" s="21">
        <f>D27-(B27-1)*$G$20</f>
        <v>1</v>
      </c>
      <c r="D27" s="21">
        <f>COUNT($D$26:$D26)+1</f>
        <v>1</v>
      </c>
      <c r="E27" s="21">
        <f t="shared" ref="E27:E90" si="1">ROW(E27)</f>
        <v>27</v>
      </c>
      <c r="F27" s="9" t="s">
        <v>143</v>
      </c>
      <c r="M27" s="21">
        <v>180011</v>
      </c>
      <c r="R27" s="12"/>
      <c r="S27" s="9"/>
      <c r="U27" s="12"/>
      <c r="X27" s="15"/>
      <c r="AE27" s="16"/>
      <c r="BH27" s="9"/>
    </row>
    <row r="28" spans="1:60">
      <c r="A28" s="9" t="s">
        <v>228</v>
      </c>
      <c r="E28" s="21">
        <f t="shared" si="1"/>
        <v>28</v>
      </c>
      <c r="F28" s="9" t="s">
        <v>127</v>
      </c>
      <c r="G28" s="21">
        <v>6</v>
      </c>
      <c r="M28" s="27">
        <f>C27*G28</f>
        <v>6</v>
      </c>
      <c r="R28" s="12"/>
      <c r="S28" s="9"/>
      <c r="U28" s="12"/>
      <c r="X28" s="15"/>
      <c r="AE28" s="16"/>
      <c r="BH28" s="9"/>
    </row>
    <row r="29" spans="1:60">
      <c r="E29" s="21">
        <f t="shared" si="1"/>
        <v>29</v>
      </c>
      <c r="F29" s="9" t="s">
        <v>143</v>
      </c>
      <c r="M29" s="21">
        <v>180012</v>
      </c>
    </row>
    <row r="30" spans="1:60">
      <c r="E30" s="21">
        <f t="shared" si="1"/>
        <v>30</v>
      </c>
      <c r="F30" s="9" t="s">
        <v>127</v>
      </c>
      <c r="G30" s="21">
        <v>6</v>
      </c>
      <c r="M30" s="21">
        <f>M28</f>
        <v>6</v>
      </c>
    </row>
    <row r="31" spans="1:60">
      <c r="B31" s="21">
        <f t="shared" ref="B31" si="2">QUOTIENT( D31-1,$G$20)+1</f>
        <v>1</v>
      </c>
      <c r="C31" s="21">
        <f t="shared" ref="C31" si="3">D31-(B31-1)*$G$20</f>
        <v>2</v>
      </c>
      <c r="D31" s="21">
        <f>COUNT($D$26:$D30)+1</f>
        <v>2</v>
      </c>
      <c r="E31" s="21">
        <f t="shared" si="1"/>
        <v>31</v>
      </c>
      <c r="F31" s="9" t="s">
        <v>143</v>
      </c>
      <c r="M31" s="21">
        <v>180011</v>
      </c>
    </row>
    <row r="32" spans="1:60">
      <c r="A32" s="21" t="s">
        <v>228</v>
      </c>
      <c r="E32" s="21">
        <f t="shared" si="1"/>
        <v>32</v>
      </c>
      <c r="F32" s="9" t="s">
        <v>127</v>
      </c>
      <c r="G32" s="21">
        <v>6</v>
      </c>
      <c r="M32" s="21">
        <f t="shared" ref="M32" si="4">C31*G32</f>
        <v>12</v>
      </c>
    </row>
    <row r="33" spans="1:13">
      <c r="E33" s="21">
        <f t="shared" si="1"/>
        <v>33</v>
      </c>
      <c r="F33" s="9" t="s">
        <v>143</v>
      </c>
      <c r="M33" s="21">
        <v>180012</v>
      </c>
    </row>
    <row r="34" spans="1:13">
      <c r="E34" s="21">
        <f t="shared" si="1"/>
        <v>34</v>
      </c>
      <c r="F34" s="9" t="s">
        <v>127</v>
      </c>
      <c r="G34" s="21">
        <v>6</v>
      </c>
      <c r="M34" s="21">
        <f t="shared" ref="M34" si="5">M32</f>
        <v>12</v>
      </c>
    </row>
    <row r="35" spans="1:13">
      <c r="B35" s="21">
        <f t="shared" ref="B35" si="6">QUOTIENT( D35-1,$G$20)+1</f>
        <v>1</v>
      </c>
      <c r="C35" s="21">
        <f t="shared" ref="C35" si="7">D35-(B35-1)*$G$20</f>
        <v>3</v>
      </c>
      <c r="D35" s="21">
        <f>COUNT($D$26:$D34)+1</f>
        <v>3</v>
      </c>
      <c r="E35" s="21">
        <f t="shared" si="1"/>
        <v>35</v>
      </c>
      <c r="F35" s="9" t="s">
        <v>143</v>
      </c>
      <c r="M35" s="21">
        <v>180011</v>
      </c>
    </row>
    <row r="36" spans="1:13">
      <c r="A36" s="21" t="s">
        <v>228</v>
      </c>
      <c r="E36" s="21">
        <f t="shared" si="1"/>
        <v>36</v>
      </c>
      <c r="F36" s="9" t="s">
        <v>127</v>
      </c>
      <c r="G36" s="21">
        <v>6</v>
      </c>
      <c r="M36" s="21">
        <f t="shared" ref="M36" si="8">C35*G36</f>
        <v>18</v>
      </c>
    </row>
    <row r="37" spans="1:13">
      <c r="E37" s="21">
        <f t="shared" si="1"/>
        <v>37</v>
      </c>
      <c r="F37" s="9" t="s">
        <v>143</v>
      </c>
      <c r="M37" s="21">
        <v>180012</v>
      </c>
    </row>
    <row r="38" spans="1:13">
      <c r="E38" s="21">
        <f t="shared" si="1"/>
        <v>38</v>
      </c>
      <c r="F38" s="9" t="s">
        <v>127</v>
      </c>
      <c r="G38" s="21">
        <v>6</v>
      </c>
      <c r="M38" s="21">
        <f t="shared" ref="M38" si="9">M36</f>
        <v>18</v>
      </c>
    </row>
    <row r="39" spans="1:13">
      <c r="B39" s="21">
        <f t="shared" ref="B39" si="10">QUOTIENT( D39-1,$G$20)+1</f>
        <v>1</v>
      </c>
      <c r="C39" s="21">
        <f t="shared" ref="C39" si="11">D39-(B39-1)*$G$20</f>
        <v>4</v>
      </c>
      <c r="D39" s="21">
        <f>COUNT($D$26:$D38)+1</f>
        <v>4</v>
      </c>
      <c r="E39" s="21">
        <f t="shared" si="1"/>
        <v>39</v>
      </c>
      <c r="F39" s="9" t="s">
        <v>143</v>
      </c>
      <c r="M39" s="21">
        <v>180011</v>
      </c>
    </row>
    <row r="40" spans="1:13">
      <c r="A40" s="21" t="s">
        <v>228</v>
      </c>
      <c r="E40" s="21">
        <f t="shared" si="1"/>
        <v>40</v>
      </c>
      <c r="F40" s="9" t="s">
        <v>127</v>
      </c>
      <c r="G40" s="21">
        <v>6</v>
      </c>
      <c r="M40" s="21">
        <f t="shared" ref="M40" si="12">C39*G40</f>
        <v>24</v>
      </c>
    </row>
    <row r="41" spans="1:13">
      <c r="E41" s="21">
        <f t="shared" si="1"/>
        <v>41</v>
      </c>
      <c r="F41" s="9" t="s">
        <v>143</v>
      </c>
      <c r="M41" s="21">
        <v>180012</v>
      </c>
    </row>
    <row r="42" spans="1:13">
      <c r="E42" s="21">
        <f t="shared" si="1"/>
        <v>42</v>
      </c>
      <c r="F42" s="9" t="s">
        <v>127</v>
      </c>
      <c r="G42" s="21">
        <v>6</v>
      </c>
      <c r="M42" s="21">
        <f t="shared" ref="M42" si="13">M40</f>
        <v>24</v>
      </c>
    </row>
    <row r="43" spans="1:13">
      <c r="B43" s="21">
        <f t="shared" ref="B43" si="14">QUOTIENT( D43-1,$G$20)+1</f>
        <v>1</v>
      </c>
      <c r="C43" s="21">
        <f t="shared" ref="C43" si="15">D43-(B43-1)*$G$20</f>
        <v>5</v>
      </c>
      <c r="D43" s="21">
        <f>COUNT($D$26:$D42)+1</f>
        <v>5</v>
      </c>
      <c r="E43" s="21">
        <f t="shared" si="1"/>
        <v>43</v>
      </c>
      <c r="F43" s="9" t="s">
        <v>143</v>
      </c>
      <c r="M43" s="21">
        <v>180011</v>
      </c>
    </row>
    <row r="44" spans="1:13">
      <c r="A44" s="21" t="s">
        <v>228</v>
      </c>
      <c r="E44" s="21">
        <f t="shared" si="1"/>
        <v>44</v>
      </c>
      <c r="F44" s="9" t="s">
        <v>127</v>
      </c>
      <c r="G44" s="21">
        <v>6</v>
      </c>
      <c r="M44" s="21">
        <f t="shared" ref="M44" si="16">C43*G44</f>
        <v>30</v>
      </c>
    </row>
    <row r="45" spans="1:13">
      <c r="E45" s="21">
        <f t="shared" si="1"/>
        <v>45</v>
      </c>
      <c r="F45" s="9" t="s">
        <v>143</v>
      </c>
      <c r="M45" s="21">
        <v>180012</v>
      </c>
    </row>
    <row r="46" spans="1:13">
      <c r="E46" s="21">
        <f t="shared" si="1"/>
        <v>46</v>
      </c>
      <c r="F46" s="9" t="s">
        <v>127</v>
      </c>
      <c r="G46" s="21">
        <v>6</v>
      </c>
      <c r="M46" s="21">
        <f t="shared" ref="M46" si="17">M44</f>
        <v>30</v>
      </c>
    </row>
    <row r="47" spans="1:13">
      <c r="B47" s="21">
        <f t="shared" ref="B47" si="18">QUOTIENT( D47-1,$G$20)+1</f>
        <v>1</v>
      </c>
      <c r="C47" s="21">
        <f t="shared" ref="C47" si="19">D47-(B47-1)*$G$20</f>
        <v>6</v>
      </c>
      <c r="D47" s="21">
        <f>COUNT($D$26:$D46)+1</f>
        <v>6</v>
      </c>
      <c r="E47" s="21">
        <f t="shared" si="1"/>
        <v>47</v>
      </c>
      <c r="F47" s="9" t="s">
        <v>143</v>
      </c>
      <c r="M47" s="21">
        <v>180011</v>
      </c>
    </row>
    <row r="48" spans="1:13">
      <c r="A48" s="21" t="s">
        <v>228</v>
      </c>
      <c r="E48" s="21">
        <f t="shared" si="1"/>
        <v>48</v>
      </c>
      <c r="F48" s="9" t="s">
        <v>127</v>
      </c>
      <c r="G48" s="21">
        <v>6</v>
      </c>
      <c r="M48" s="21">
        <f t="shared" ref="M48" si="20">C47*G48</f>
        <v>36</v>
      </c>
    </row>
    <row r="49" spans="1:13">
      <c r="E49" s="21">
        <f t="shared" si="1"/>
        <v>49</v>
      </c>
      <c r="F49" s="9" t="s">
        <v>143</v>
      </c>
      <c r="M49" s="21">
        <v>180012</v>
      </c>
    </row>
    <row r="50" spans="1:13">
      <c r="E50" s="21">
        <f t="shared" si="1"/>
        <v>50</v>
      </c>
      <c r="F50" s="9" t="s">
        <v>127</v>
      </c>
      <c r="G50" s="21">
        <v>6</v>
      </c>
      <c r="M50" s="21">
        <f t="shared" ref="M50" si="21">M48</f>
        <v>36</v>
      </c>
    </row>
    <row r="51" spans="1:13">
      <c r="B51" s="21">
        <f t="shared" ref="B51" si="22">QUOTIENT( D51-1,$G$20)+1</f>
        <v>1</v>
      </c>
      <c r="C51" s="21">
        <f t="shared" ref="C51" si="23">D51-(B51-1)*$G$20</f>
        <v>7</v>
      </c>
      <c r="D51" s="21">
        <f>COUNT($D$26:$D50)+1</f>
        <v>7</v>
      </c>
      <c r="E51" s="21">
        <f t="shared" si="1"/>
        <v>51</v>
      </c>
      <c r="F51" s="9" t="s">
        <v>143</v>
      </c>
      <c r="M51" s="21">
        <v>180011</v>
      </c>
    </row>
    <row r="52" spans="1:13">
      <c r="A52" s="21" t="s">
        <v>228</v>
      </c>
      <c r="E52" s="21">
        <f t="shared" si="1"/>
        <v>52</v>
      </c>
      <c r="F52" s="9" t="s">
        <v>127</v>
      </c>
      <c r="G52" s="21">
        <v>6</v>
      </c>
      <c r="M52" s="21">
        <f t="shared" ref="M52" si="24">C51*G52</f>
        <v>42</v>
      </c>
    </row>
    <row r="53" spans="1:13">
      <c r="E53" s="21">
        <f t="shared" si="1"/>
        <v>53</v>
      </c>
      <c r="F53" s="9" t="s">
        <v>143</v>
      </c>
      <c r="M53" s="21">
        <v>180012</v>
      </c>
    </row>
    <row r="54" spans="1:13">
      <c r="E54" s="21">
        <f t="shared" si="1"/>
        <v>54</v>
      </c>
      <c r="F54" s="9" t="s">
        <v>127</v>
      </c>
      <c r="G54" s="21">
        <v>6</v>
      </c>
      <c r="M54" s="21">
        <f t="shared" ref="M54" si="25">M52</f>
        <v>42</v>
      </c>
    </row>
    <row r="55" spans="1:13">
      <c r="B55" s="21">
        <f t="shared" ref="B55" si="26">QUOTIENT( D55-1,$G$20)+1</f>
        <v>1</v>
      </c>
      <c r="C55" s="21">
        <f t="shared" ref="C55" si="27">D55-(B55-1)*$G$20</f>
        <v>8</v>
      </c>
      <c r="D55" s="21">
        <f>COUNT($D$26:$D54)+1</f>
        <v>8</v>
      </c>
      <c r="E55" s="21">
        <f t="shared" si="1"/>
        <v>55</v>
      </c>
      <c r="F55" s="9" t="s">
        <v>143</v>
      </c>
      <c r="M55" s="21">
        <v>180011</v>
      </c>
    </row>
    <row r="56" spans="1:13">
      <c r="A56" s="21" t="s">
        <v>228</v>
      </c>
      <c r="E56" s="21">
        <f t="shared" si="1"/>
        <v>56</v>
      </c>
      <c r="F56" s="9" t="s">
        <v>127</v>
      </c>
      <c r="G56" s="21">
        <v>6</v>
      </c>
      <c r="M56" s="21">
        <f t="shared" ref="M56" si="28">C55*G56</f>
        <v>48</v>
      </c>
    </row>
    <row r="57" spans="1:13">
      <c r="E57" s="21">
        <f t="shared" si="1"/>
        <v>57</v>
      </c>
      <c r="F57" s="9" t="s">
        <v>143</v>
      </c>
      <c r="M57" s="21">
        <v>180012</v>
      </c>
    </row>
    <row r="58" spans="1:13">
      <c r="E58" s="21">
        <f t="shared" si="1"/>
        <v>58</v>
      </c>
      <c r="F58" s="9" t="s">
        <v>127</v>
      </c>
      <c r="G58" s="21">
        <v>6</v>
      </c>
      <c r="M58" s="21">
        <f t="shared" ref="M58" si="29">M56</f>
        <v>48</v>
      </c>
    </row>
    <row r="59" spans="1:13">
      <c r="B59" s="21">
        <f t="shared" ref="B59" si="30">QUOTIENT( D59-1,$G$20)+1</f>
        <v>1</v>
      </c>
      <c r="C59" s="21">
        <f t="shared" ref="C59" si="31">D59-(B59-1)*$G$20</f>
        <v>9</v>
      </c>
      <c r="D59" s="21">
        <f>COUNT($D$26:$D58)+1</f>
        <v>9</v>
      </c>
      <c r="E59" s="21">
        <f t="shared" si="1"/>
        <v>59</v>
      </c>
      <c r="F59" s="9" t="s">
        <v>143</v>
      </c>
      <c r="M59" s="21">
        <v>180011</v>
      </c>
    </row>
    <row r="60" spans="1:13">
      <c r="A60" s="21" t="s">
        <v>228</v>
      </c>
      <c r="E60" s="21">
        <f t="shared" si="1"/>
        <v>60</v>
      </c>
      <c r="F60" s="9" t="s">
        <v>127</v>
      </c>
      <c r="G60" s="21">
        <v>6</v>
      </c>
      <c r="M60" s="21">
        <f t="shared" ref="M60" si="32">C59*G60</f>
        <v>54</v>
      </c>
    </row>
    <row r="61" spans="1:13">
      <c r="E61" s="21">
        <f t="shared" si="1"/>
        <v>61</v>
      </c>
      <c r="F61" s="9" t="s">
        <v>143</v>
      </c>
      <c r="M61" s="21">
        <v>180012</v>
      </c>
    </row>
    <row r="62" spans="1:13">
      <c r="E62" s="21">
        <f t="shared" si="1"/>
        <v>62</v>
      </c>
      <c r="F62" s="9" t="s">
        <v>127</v>
      </c>
      <c r="G62" s="21">
        <v>6</v>
      </c>
      <c r="M62" s="21">
        <f t="shared" ref="M62" si="33">M60</f>
        <v>54</v>
      </c>
    </row>
    <row r="63" spans="1:13">
      <c r="B63" s="21">
        <f t="shared" ref="B63" si="34">QUOTIENT( D63-1,$G$20)+1</f>
        <v>1</v>
      </c>
      <c r="C63" s="21">
        <f t="shared" ref="C63" si="35">D63-(B63-1)*$G$20</f>
        <v>10</v>
      </c>
      <c r="D63" s="21">
        <f>COUNT($D$26:$D62)+1</f>
        <v>10</v>
      </c>
      <c r="E63" s="21">
        <f t="shared" si="1"/>
        <v>63</v>
      </c>
      <c r="F63" s="9" t="s">
        <v>143</v>
      </c>
      <c r="M63" s="21">
        <v>180011</v>
      </c>
    </row>
    <row r="64" spans="1:13">
      <c r="A64" s="21" t="s">
        <v>228</v>
      </c>
      <c r="E64" s="21">
        <f t="shared" si="1"/>
        <v>64</v>
      </c>
      <c r="F64" s="9" t="s">
        <v>127</v>
      </c>
      <c r="G64" s="21">
        <v>6</v>
      </c>
      <c r="M64" s="21">
        <f t="shared" ref="M64" si="36">C63*G64</f>
        <v>60</v>
      </c>
    </row>
    <row r="65" spans="1:13">
      <c r="E65" s="21">
        <f t="shared" si="1"/>
        <v>65</v>
      </c>
      <c r="F65" s="9" t="s">
        <v>143</v>
      </c>
      <c r="M65" s="21">
        <v>180012</v>
      </c>
    </row>
    <row r="66" spans="1:13">
      <c r="E66" s="21">
        <f t="shared" si="1"/>
        <v>66</v>
      </c>
      <c r="F66" s="9" t="s">
        <v>127</v>
      </c>
      <c r="G66" s="21">
        <v>6</v>
      </c>
      <c r="M66" s="21">
        <f t="shared" ref="M66" si="37">M64</f>
        <v>60</v>
      </c>
    </row>
    <row r="67" spans="1:13">
      <c r="B67" s="21">
        <f t="shared" ref="B67" si="38">QUOTIENT( D67-1,$G$20)+1</f>
        <v>1</v>
      </c>
      <c r="C67" s="21">
        <f t="shared" ref="C67" si="39">D67-(B67-1)*$G$20</f>
        <v>11</v>
      </c>
      <c r="D67" s="21">
        <f>COUNT($D$26:$D66)+1</f>
        <v>11</v>
      </c>
      <c r="E67" s="21">
        <f t="shared" si="1"/>
        <v>67</v>
      </c>
      <c r="F67" s="9" t="s">
        <v>143</v>
      </c>
      <c r="M67" s="21">
        <v>180011</v>
      </c>
    </row>
    <row r="68" spans="1:13">
      <c r="A68" s="21" t="s">
        <v>228</v>
      </c>
      <c r="E68" s="21">
        <f t="shared" si="1"/>
        <v>68</v>
      </c>
      <c r="F68" s="9" t="s">
        <v>127</v>
      </c>
      <c r="G68" s="21">
        <v>6</v>
      </c>
      <c r="M68" s="21">
        <f t="shared" ref="M68" si="40">C67*G68</f>
        <v>66</v>
      </c>
    </row>
    <row r="69" spans="1:13">
      <c r="E69" s="21">
        <f t="shared" si="1"/>
        <v>69</v>
      </c>
      <c r="F69" s="9" t="s">
        <v>143</v>
      </c>
      <c r="M69" s="21">
        <v>180012</v>
      </c>
    </row>
    <row r="70" spans="1:13">
      <c r="E70" s="21">
        <f t="shared" si="1"/>
        <v>70</v>
      </c>
      <c r="F70" s="9" t="s">
        <v>127</v>
      </c>
      <c r="G70" s="21">
        <v>6</v>
      </c>
      <c r="M70" s="21">
        <f t="shared" ref="M70" si="41">M68</f>
        <v>66</v>
      </c>
    </row>
    <row r="71" spans="1:13">
      <c r="B71" s="21">
        <f t="shared" ref="B71" si="42">QUOTIENT( D71-1,$G$20)+1</f>
        <v>1</v>
      </c>
      <c r="C71" s="21">
        <f t="shared" ref="C71" si="43">D71-(B71-1)*$G$20</f>
        <v>12</v>
      </c>
      <c r="D71" s="21">
        <f>COUNT($D$26:$D70)+1</f>
        <v>12</v>
      </c>
      <c r="E71" s="21">
        <f t="shared" si="1"/>
        <v>71</v>
      </c>
      <c r="F71" s="9" t="s">
        <v>143</v>
      </c>
      <c r="M71" s="21">
        <v>180011</v>
      </c>
    </row>
    <row r="72" spans="1:13">
      <c r="A72" s="21" t="s">
        <v>228</v>
      </c>
      <c r="E72" s="21">
        <f t="shared" si="1"/>
        <v>72</v>
      </c>
      <c r="F72" s="9" t="s">
        <v>127</v>
      </c>
      <c r="G72" s="21">
        <v>6</v>
      </c>
      <c r="M72" s="21">
        <f t="shared" ref="M72" si="44">C71*G72</f>
        <v>72</v>
      </c>
    </row>
    <row r="73" spans="1:13">
      <c r="E73" s="21">
        <f t="shared" si="1"/>
        <v>73</v>
      </c>
      <c r="F73" s="9" t="s">
        <v>143</v>
      </c>
      <c r="M73" s="21">
        <v>180012</v>
      </c>
    </row>
    <row r="74" spans="1:13">
      <c r="E74" s="21">
        <f t="shared" si="1"/>
        <v>74</v>
      </c>
      <c r="F74" s="9" t="s">
        <v>127</v>
      </c>
      <c r="G74" s="21">
        <v>6</v>
      </c>
      <c r="M74" s="21">
        <f t="shared" ref="M74" si="45">M72</f>
        <v>72</v>
      </c>
    </row>
    <row r="75" spans="1:13">
      <c r="B75" s="21">
        <f t="shared" ref="B75" si="46">QUOTIENT( D75-1,$G$20)+1</f>
        <v>1</v>
      </c>
      <c r="C75" s="21">
        <f t="shared" ref="C75" si="47">D75-(B75-1)*$G$20</f>
        <v>13</v>
      </c>
      <c r="D75" s="21">
        <f>COUNT($D$26:$D74)+1</f>
        <v>13</v>
      </c>
      <c r="E75" s="21">
        <f t="shared" si="1"/>
        <v>75</v>
      </c>
      <c r="F75" s="9" t="s">
        <v>143</v>
      </c>
      <c r="M75" s="21">
        <v>180011</v>
      </c>
    </row>
    <row r="76" spans="1:13">
      <c r="A76" s="21" t="s">
        <v>228</v>
      </c>
      <c r="E76" s="21">
        <f t="shared" si="1"/>
        <v>76</v>
      </c>
      <c r="F76" s="9" t="s">
        <v>127</v>
      </c>
      <c r="G76" s="21">
        <v>6</v>
      </c>
      <c r="M76" s="21">
        <f t="shared" ref="M76" si="48">C75*G76</f>
        <v>78</v>
      </c>
    </row>
    <row r="77" spans="1:13">
      <c r="E77" s="21">
        <f t="shared" si="1"/>
        <v>77</v>
      </c>
      <c r="F77" s="9" t="s">
        <v>143</v>
      </c>
      <c r="M77" s="21">
        <v>180012</v>
      </c>
    </row>
    <row r="78" spans="1:13">
      <c r="E78" s="21">
        <f t="shared" si="1"/>
        <v>78</v>
      </c>
      <c r="F78" s="9" t="s">
        <v>127</v>
      </c>
      <c r="G78" s="21">
        <v>6</v>
      </c>
      <c r="M78" s="21">
        <f t="shared" ref="M78" si="49">M76</f>
        <v>78</v>
      </c>
    </row>
    <row r="79" spans="1:13">
      <c r="B79" s="21">
        <f t="shared" ref="B79" si="50">QUOTIENT( D79-1,$G$20)+1</f>
        <v>1</v>
      </c>
      <c r="C79" s="21">
        <f t="shared" ref="C79" si="51">D79-(B79-1)*$G$20</f>
        <v>14</v>
      </c>
      <c r="D79" s="21">
        <f>COUNT($D$26:$D78)+1</f>
        <v>14</v>
      </c>
      <c r="E79" s="21">
        <f t="shared" si="1"/>
        <v>79</v>
      </c>
      <c r="F79" s="9" t="s">
        <v>143</v>
      </c>
      <c r="M79" s="21">
        <v>180011</v>
      </c>
    </row>
    <row r="80" spans="1:13">
      <c r="A80" s="21" t="s">
        <v>228</v>
      </c>
      <c r="E80" s="21">
        <f t="shared" si="1"/>
        <v>80</v>
      </c>
      <c r="F80" s="9" t="s">
        <v>127</v>
      </c>
      <c r="G80" s="21">
        <v>6</v>
      </c>
      <c r="M80" s="21">
        <f t="shared" ref="M80" si="52">C79*G80</f>
        <v>84</v>
      </c>
    </row>
    <row r="81" spans="1:13">
      <c r="E81" s="21">
        <f t="shared" si="1"/>
        <v>81</v>
      </c>
      <c r="F81" s="9" t="s">
        <v>143</v>
      </c>
      <c r="M81" s="21">
        <v>180012</v>
      </c>
    </row>
    <row r="82" spans="1:13">
      <c r="E82" s="21">
        <f t="shared" si="1"/>
        <v>82</v>
      </c>
      <c r="F82" s="9" t="s">
        <v>127</v>
      </c>
      <c r="G82" s="21">
        <v>6</v>
      </c>
      <c r="M82" s="21">
        <f t="shared" ref="M82" si="53">M80</f>
        <v>84</v>
      </c>
    </row>
    <row r="83" spans="1:13">
      <c r="B83" s="21">
        <f t="shared" ref="B83" si="54">QUOTIENT( D83-1,$G$20)+1</f>
        <v>1</v>
      </c>
      <c r="C83" s="21">
        <f t="shared" ref="C83" si="55">D83-(B83-1)*$G$20</f>
        <v>15</v>
      </c>
      <c r="D83" s="21">
        <f>COUNT($D$26:$D82)+1</f>
        <v>15</v>
      </c>
      <c r="E83" s="21">
        <f t="shared" si="1"/>
        <v>83</v>
      </c>
      <c r="F83" s="9" t="s">
        <v>143</v>
      </c>
      <c r="M83" s="21">
        <v>180011</v>
      </c>
    </row>
    <row r="84" spans="1:13">
      <c r="A84" s="21" t="s">
        <v>228</v>
      </c>
      <c r="E84" s="21">
        <f t="shared" si="1"/>
        <v>84</v>
      </c>
      <c r="F84" s="9" t="s">
        <v>127</v>
      </c>
      <c r="G84" s="21">
        <v>6</v>
      </c>
      <c r="M84" s="21">
        <f t="shared" ref="M84" si="56">C83*G84</f>
        <v>90</v>
      </c>
    </row>
    <row r="85" spans="1:13">
      <c r="E85" s="21">
        <f t="shared" si="1"/>
        <v>85</v>
      </c>
      <c r="F85" s="9" t="s">
        <v>143</v>
      </c>
      <c r="M85" s="21">
        <v>180012</v>
      </c>
    </row>
    <row r="86" spans="1:13">
      <c r="E86" s="21">
        <f t="shared" si="1"/>
        <v>86</v>
      </c>
      <c r="F86" s="9" t="s">
        <v>127</v>
      </c>
      <c r="G86" s="21">
        <v>6</v>
      </c>
      <c r="M86" s="21">
        <f t="shared" ref="M86" si="57">M84</f>
        <v>90</v>
      </c>
    </row>
    <row r="87" spans="1:13">
      <c r="B87" s="21">
        <f t="shared" ref="B87" si="58">QUOTIENT( D87-1,$G$20)+1</f>
        <v>1</v>
      </c>
      <c r="C87" s="21">
        <f t="shared" ref="C87" si="59">D87-(B87-1)*$G$20</f>
        <v>16</v>
      </c>
      <c r="D87" s="21">
        <f>COUNT($D$26:$D86)+1</f>
        <v>16</v>
      </c>
      <c r="E87" s="21">
        <f t="shared" si="1"/>
        <v>87</v>
      </c>
      <c r="F87" s="9" t="s">
        <v>143</v>
      </c>
      <c r="M87" s="21">
        <v>180011</v>
      </c>
    </row>
    <row r="88" spans="1:13">
      <c r="A88" s="21" t="s">
        <v>228</v>
      </c>
      <c r="E88" s="21">
        <f t="shared" si="1"/>
        <v>88</v>
      </c>
      <c r="F88" s="9" t="s">
        <v>127</v>
      </c>
      <c r="G88" s="21">
        <v>6</v>
      </c>
      <c r="M88" s="21">
        <f t="shared" ref="M88" si="60">C87*G88</f>
        <v>96</v>
      </c>
    </row>
    <row r="89" spans="1:13">
      <c r="E89" s="21">
        <f t="shared" si="1"/>
        <v>89</v>
      </c>
      <c r="F89" s="9" t="s">
        <v>143</v>
      </c>
      <c r="M89" s="21">
        <v>180012</v>
      </c>
    </row>
    <row r="90" spans="1:13">
      <c r="E90" s="21">
        <f t="shared" si="1"/>
        <v>90</v>
      </c>
      <c r="F90" s="9" t="s">
        <v>127</v>
      </c>
      <c r="G90" s="21">
        <v>6</v>
      </c>
      <c r="M90" s="21">
        <f t="shared" ref="M90" si="61">M88</f>
        <v>96</v>
      </c>
    </row>
    <row r="91" spans="1:13">
      <c r="B91" s="21">
        <f t="shared" ref="B91" si="62">QUOTIENT( D91-1,$G$20)+1</f>
        <v>1</v>
      </c>
      <c r="C91" s="21">
        <f t="shared" ref="C91" si="63">D91-(B91-1)*$G$20</f>
        <v>17</v>
      </c>
      <c r="D91" s="21">
        <f>COUNT($D$26:$D90)+1</f>
        <v>17</v>
      </c>
      <c r="E91" s="21">
        <f t="shared" ref="E91:E154" si="64">ROW(E91)</f>
        <v>91</v>
      </c>
      <c r="F91" s="9" t="s">
        <v>143</v>
      </c>
      <c r="M91" s="21">
        <v>180011</v>
      </c>
    </row>
    <row r="92" spans="1:13">
      <c r="A92" s="21" t="s">
        <v>228</v>
      </c>
      <c r="E92" s="21">
        <f t="shared" si="64"/>
        <v>92</v>
      </c>
      <c r="F92" s="9" t="s">
        <v>127</v>
      </c>
      <c r="G92" s="21">
        <v>6</v>
      </c>
      <c r="M92" s="21">
        <f t="shared" ref="M92" si="65">C91*G92</f>
        <v>102</v>
      </c>
    </row>
    <row r="93" spans="1:13">
      <c r="E93" s="21">
        <f t="shared" si="64"/>
        <v>93</v>
      </c>
      <c r="F93" s="9" t="s">
        <v>143</v>
      </c>
      <c r="M93" s="21">
        <v>180012</v>
      </c>
    </row>
    <row r="94" spans="1:13">
      <c r="E94" s="21">
        <f t="shared" si="64"/>
        <v>94</v>
      </c>
      <c r="F94" s="9" t="s">
        <v>127</v>
      </c>
      <c r="G94" s="21">
        <v>6</v>
      </c>
      <c r="M94" s="21">
        <f t="shared" ref="M94" si="66">M92</f>
        <v>102</v>
      </c>
    </row>
    <row r="95" spans="1:13">
      <c r="B95" s="21">
        <f t="shared" ref="B95" si="67">QUOTIENT( D95-1,$G$20)+1</f>
        <v>1</v>
      </c>
      <c r="C95" s="21">
        <f t="shared" ref="C95" si="68">D95-(B95-1)*$G$20</f>
        <v>18</v>
      </c>
      <c r="D95" s="21">
        <f>COUNT($D$26:$D94)+1</f>
        <v>18</v>
      </c>
      <c r="E95" s="21">
        <f t="shared" si="64"/>
        <v>95</v>
      </c>
      <c r="F95" s="9" t="s">
        <v>143</v>
      </c>
      <c r="M95" s="21">
        <v>180011</v>
      </c>
    </row>
    <row r="96" spans="1:13">
      <c r="A96" s="21" t="s">
        <v>228</v>
      </c>
      <c r="E96" s="21">
        <f t="shared" si="64"/>
        <v>96</v>
      </c>
      <c r="F96" s="9" t="s">
        <v>127</v>
      </c>
      <c r="G96" s="21">
        <v>6</v>
      </c>
      <c r="M96" s="21">
        <f t="shared" ref="M96" si="69">C95*G96</f>
        <v>108</v>
      </c>
    </row>
    <row r="97" spans="1:13">
      <c r="E97" s="21">
        <f t="shared" si="64"/>
        <v>97</v>
      </c>
      <c r="F97" s="9" t="s">
        <v>143</v>
      </c>
      <c r="M97" s="21">
        <v>180012</v>
      </c>
    </row>
    <row r="98" spans="1:13">
      <c r="E98" s="21">
        <f t="shared" si="64"/>
        <v>98</v>
      </c>
      <c r="F98" s="9" t="s">
        <v>127</v>
      </c>
      <c r="G98" s="21">
        <v>6</v>
      </c>
      <c r="M98" s="21">
        <f t="shared" ref="M98" si="70">M96</f>
        <v>108</v>
      </c>
    </row>
    <row r="99" spans="1:13">
      <c r="B99" s="21">
        <f t="shared" ref="B99" si="71">QUOTIENT( D99-1,$G$20)+1</f>
        <v>1</v>
      </c>
      <c r="C99" s="21">
        <f t="shared" ref="C99" si="72">D99-(B99-1)*$G$20</f>
        <v>19</v>
      </c>
      <c r="D99" s="21">
        <f>COUNT($D$26:$D98)+1</f>
        <v>19</v>
      </c>
      <c r="E99" s="21">
        <f t="shared" si="64"/>
        <v>99</v>
      </c>
      <c r="F99" s="9" t="s">
        <v>143</v>
      </c>
      <c r="M99" s="21">
        <v>180011</v>
      </c>
    </row>
    <row r="100" spans="1:13">
      <c r="A100" s="21" t="s">
        <v>228</v>
      </c>
      <c r="E100" s="21">
        <f t="shared" si="64"/>
        <v>100</v>
      </c>
      <c r="F100" s="9" t="s">
        <v>127</v>
      </c>
      <c r="G100" s="21">
        <v>6</v>
      </c>
      <c r="M100" s="21">
        <f t="shared" ref="M100" si="73">C99*G100</f>
        <v>114</v>
      </c>
    </row>
    <row r="101" spans="1:13">
      <c r="E101" s="21">
        <f t="shared" si="64"/>
        <v>101</v>
      </c>
      <c r="F101" s="9" t="s">
        <v>143</v>
      </c>
      <c r="M101" s="21">
        <v>180012</v>
      </c>
    </row>
    <row r="102" spans="1:13">
      <c r="E102" s="21">
        <f t="shared" si="64"/>
        <v>102</v>
      </c>
      <c r="F102" s="9" t="s">
        <v>127</v>
      </c>
      <c r="G102" s="21">
        <v>6</v>
      </c>
      <c r="M102" s="21">
        <f t="shared" ref="M102" si="74">M100</f>
        <v>114</v>
      </c>
    </row>
    <row r="103" spans="1:13">
      <c r="B103" s="21">
        <f t="shared" ref="B103" si="75">QUOTIENT( D103-1,$G$20)+1</f>
        <v>1</v>
      </c>
      <c r="C103" s="21">
        <f t="shared" ref="C103" si="76">D103-(B103-1)*$G$20</f>
        <v>20</v>
      </c>
      <c r="D103" s="21">
        <f>COUNT($D$26:$D102)+1</f>
        <v>20</v>
      </c>
      <c r="E103" s="21">
        <f t="shared" si="64"/>
        <v>103</v>
      </c>
      <c r="F103" s="9" t="s">
        <v>143</v>
      </c>
      <c r="M103" s="21">
        <v>180011</v>
      </c>
    </row>
    <row r="104" spans="1:13">
      <c r="A104" s="21" t="s">
        <v>228</v>
      </c>
      <c r="E104" s="21">
        <f t="shared" si="64"/>
        <v>104</v>
      </c>
      <c r="F104" s="9" t="s">
        <v>127</v>
      </c>
      <c r="G104" s="21">
        <v>6</v>
      </c>
      <c r="M104" s="21">
        <f t="shared" ref="M104" si="77">C103*G104</f>
        <v>120</v>
      </c>
    </row>
    <row r="105" spans="1:13">
      <c r="E105" s="21">
        <f t="shared" si="64"/>
        <v>105</v>
      </c>
      <c r="F105" s="9" t="s">
        <v>143</v>
      </c>
      <c r="M105" s="21">
        <v>180012</v>
      </c>
    </row>
    <row r="106" spans="1:13">
      <c r="E106" s="21">
        <f t="shared" si="64"/>
        <v>106</v>
      </c>
      <c r="F106" s="9" t="s">
        <v>127</v>
      </c>
      <c r="G106" s="21">
        <v>6</v>
      </c>
      <c r="M106" s="21">
        <f t="shared" ref="M106" si="78">M104</f>
        <v>120</v>
      </c>
    </row>
    <row r="107" spans="1:13">
      <c r="B107" s="21">
        <f t="shared" ref="B107" si="79">QUOTIENT( D107-1,$G$20)+1</f>
        <v>1</v>
      </c>
      <c r="C107" s="21">
        <f t="shared" ref="C107" si="80">D107-(B107-1)*$G$20</f>
        <v>21</v>
      </c>
      <c r="D107" s="21">
        <f>COUNT($D$26:$D106)+1</f>
        <v>21</v>
      </c>
      <c r="E107" s="21">
        <f t="shared" si="64"/>
        <v>107</v>
      </c>
      <c r="F107" s="9" t="s">
        <v>143</v>
      </c>
      <c r="M107" s="21">
        <v>180011</v>
      </c>
    </row>
    <row r="108" spans="1:13">
      <c r="A108" s="21" t="s">
        <v>228</v>
      </c>
      <c r="E108" s="21">
        <f t="shared" si="64"/>
        <v>108</v>
      </c>
      <c r="F108" s="9" t="s">
        <v>127</v>
      </c>
      <c r="G108" s="21">
        <v>6</v>
      </c>
      <c r="M108" s="21">
        <f t="shared" ref="M108" si="81">C107*G108</f>
        <v>126</v>
      </c>
    </row>
    <row r="109" spans="1:13">
      <c r="E109" s="21">
        <f t="shared" si="64"/>
        <v>109</v>
      </c>
      <c r="F109" s="9" t="s">
        <v>143</v>
      </c>
      <c r="M109" s="21">
        <v>180012</v>
      </c>
    </row>
    <row r="110" spans="1:13">
      <c r="E110" s="21">
        <f t="shared" si="64"/>
        <v>110</v>
      </c>
      <c r="F110" s="9" t="s">
        <v>127</v>
      </c>
      <c r="G110" s="21">
        <v>6</v>
      </c>
      <c r="M110" s="21">
        <f t="shared" ref="M110" si="82">M108</f>
        <v>126</v>
      </c>
    </row>
    <row r="111" spans="1:13">
      <c r="B111" s="21">
        <f t="shared" ref="B111" si="83">QUOTIENT( D111-1,$G$20)+1</f>
        <v>1</v>
      </c>
      <c r="C111" s="21">
        <f t="shared" ref="C111" si="84">D111-(B111-1)*$G$20</f>
        <v>22</v>
      </c>
      <c r="D111" s="21">
        <f>COUNT($D$26:$D110)+1</f>
        <v>22</v>
      </c>
      <c r="E111" s="21">
        <f t="shared" si="64"/>
        <v>111</v>
      </c>
      <c r="F111" s="9" t="s">
        <v>143</v>
      </c>
      <c r="M111" s="21">
        <v>180011</v>
      </c>
    </row>
    <row r="112" spans="1:13">
      <c r="A112" s="21" t="s">
        <v>228</v>
      </c>
      <c r="E112" s="21">
        <f t="shared" si="64"/>
        <v>112</v>
      </c>
      <c r="F112" s="9" t="s">
        <v>127</v>
      </c>
      <c r="G112" s="21">
        <v>6</v>
      </c>
      <c r="M112" s="21">
        <f t="shared" ref="M112" si="85">C111*G112</f>
        <v>132</v>
      </c>
    </row>
    <row r="113" spans="1:13">
      <c r="E113" s="21">
        <f t="shared" si="64"/>
        <v>113</v>
      </c>
      <c r="F113" s="9" t="s">
        <v>143</v>
      </c>
      <c r="M113" s="21">
        <v>180012</v>
      </c>
    </row>
    <row r="114" spans="1:13">
      <c r="E114" s="21">
        <f t="shared" si="64"/>
        <v>114</v>
      </c>
      <c r="F114" s="9" t="s">
        <v>127</v>
      </c>
      <c r="G114" s="21">
        <v>6</v>
      </c>
      <c r="M114" s="21">
        <f t="shared" ref="M114" si="86">M112</f>
        <v>132</v>
      </c>
    </row>
    <row r="115" spans="1:13">
      <c r="B115" s="21">
        <f t="shared" ref="B115" si="87">QUOTIENT( D115-1,$G$20)+1</f>
        <v>1</v>
      </c>
      <c r="C115" s="21">
        <f t="shared" ref="C115" si="88">D115-(B115-1)*$G$20</f>
        <v>23</v>
      </c>
      <c r="D115" s="21">
        <f>COUNT($D$26:$D114)+1</f>
        <v>23</v>
      </c>
      <c r="E115" s="21">
        <f t="shared" si="64"/>
        <v>115</v>
      </c>
      <c r="F115" s="9" t="s">
        <v>143</v>
      </c>
      <c r="M115" s="21">
        <v>180011</v>
      </c>
    </row>
    <row r="116" spans="1:13">
      <c r="A116" s="21" t="s">
        <v>228</v>
      </c>
      <c r="E116" s="21">
        <f t="shared" si="64"/>
        <v>116</v>
      </c>
      <c r="F116" s="9" t="s">
        <v>127</v>
      </c>
      <c r="G116" s="21">
        <v>6</v>
      </c>
      <c r="M116" s="21">
        <f t="shared" ref="M116" si="89">C115*G116</f>
        <v>138</v>
      </c>
    </row>
    <row r="117" spans="1:13">
      <c r="E117" s="21">
        <f t="shared" si="64"/>
        <v>117</v>
      </c>
      <c r="F117" s="9" t="s">
        <v>143</v>
      </c>
      <c r="M117" s="21">
        <v>180012</v>
      </c>
    </row>
    <row r="118" spans="1:13">
      <c r="E118" s="21">
        <f t="shared" si="64"/>
        <v>118</v>
      </c>
      <c r="F118" s="9" t="s">
        <v>127</v>
      </c>
      <c r="G118" s="21">
        <v>6</v>
      </c>
      <c r="M118" s="21">
        <f t="shared" ref="M118" si="90">M116</f>
        <v>138</v>
      </c>
    </row>
    <row r="119" spans="1:13">
      <c r="B119" s="21">
        <f t="shared" ref="B119" si="91">QUOTIENT( D119-1,$G$20)+1</f>
        <v>1</v>
      </c>
      <c r="C119" s="21">
        <f t="shared" ref="C119" si="92">D119-(B119-1)*$G$20</f>
        <v>24</v>
      </c>
      <c r="D119" s="21">
        <f>COUNT($D$26:$D118)+1</f>
        <v>24</v>
      </c>
      <c r="E119" s="21">
        <f t="shared" si="64"/>
        <v>119</v>
      </c>
      <c r="F119" s="9" t="s">
        <v>143</v>
      </c>
      <c r="M119" s="21">
        <v>180011</v>
      </c>
    </row>
    <row r="120" spans="1:13">
      <c r="A120" s="21" t="s">
        <v>228</v>
      </c>
      <c r="E120" s="21">
        <f t="shared" si="64"/>
        <v>120</v>
      </c>
      <c r="F120" s="9" t="s">
        <v>127</v>
      </c>
      <c r="G120" s="21">
        <v>6</v>
      </c>
      <c r="M120" s="21">
        <f t="shared" ref="M120" si="93">C119*G120</f>
        <v>144</v>
      </c>
    </row>
    <row r="121" spans="1:13">
      <c r="E121" s="21">
        <f t="shared" si="64"/>
        <v>121</v>
      </c>
      <c r="F121" s="9" t="s">
        <v>143</v>
      </c>
      <c r="M121" s="21">
        <v>180012</v>
      </c>
    </row>
    <row r="122" spans="1:13">
      <c r="E122" s="21">
        <f t="shared" si="64"/>
        <v>122</v>
      </c>
      <c r="F122" s="9" t="s">
        <v>127</v>
      </c>
      <c r="G122" s="21">
        <v>6</v>
      </c>
      <c r="M122" s="21">
        <f t="shared" ref="M122" si="94">M120</f>
        <v>144</v>
      </c>
    </row>
    <row r="123" spans="1:13">
      <c r="B123" s="21">
        <f t="shared" ref="B123" si="95">QUOTIENT( D123-1,$G$20)+1</f>
        <v>1</v>
      </c>
      <c r="C123" s="21">
        <f t="shared" ref="C123" si="96">D123-(B123-1)*$G$20</f>
        <v>25</v>
      </c>
      <c r="D123" s="21">
        <f>COUNT($D$26:$D122)+1</f>
        <v>25</v>
      </c>
      <c r="E123" s="21">
        <f t="shared" si="64"/>
        <v>123</v>
      </c>
      <c r="F123" s="9" t="s">
        <v>143</v>
      </c>
      <c r="M123" s="21">
        <v>180011</v>
      </c>
    </row>
    <row r="124" spans="1:13">
      <c r="A124" s="21" t="s">
        <v>228</v>
      </c>
      <c r="E124" s="21">
        <f t="shared" si="64"/>
        <v>124</v>
      </c>
      <c r="F124" s="9" t="s">
        <v>127</v>
      </c>
      <c r="G124" s="21">
        <v>6</v>
      </c>
      <c r="M124" s="21">
        <f t="shared" ref="M124" si="97">C123*G124</f>
        <v>150</v>
      </c>
    </row>
    <row r="125" spans="1:13">
      <c r="E125" s="21">
        <f t="shared" si="64"/>
        <v>125</v>
      </c>
      <c r="F125" s="9" t="s">
        <v>143</v>
      </c>
      <c r="M125" s="21">
        <v>180012</v>
      </c>
    </row>
    <row r="126" spans="1:13">
      <c r="E126" s="21">
        <f t="shared" si="64"/>
        <v>126</v>
      </c>
      <c r="F126" s="9" t="s">
        <v>127</v>
      </c>
      <c r="G126" s="21">
        <v>6</v>
      </c>
      <c r="M126" s="21">
        <f t="shared" ref="M126" si="98">M124</f>
        <v>150</v>
      </c>
    </row>
    <row r="127" spans="1:13">
      <c r="B127" s="21">
        <f t="shared" ref="B127" si="99">QUOTIENT( D127-1,$G$20)+1</f>
        <v>1</v>
      </c>
      <c r="C127" s="21">
        <f t="shared" ref="C127" si="100">D127-(B127-1)*$G$20</f>
        <v>26</v>
      </c>
      <c r="D127" s="21">
        <f>COUNT($D$26:$D126)+1</f>
        <v>26</v>
      </c>
      <c r="E127" s="21">
        <f t="shared" si="64"/>
        <v>127</v>
      </c>
      <c r="F127" s="9" t="s">
        <v>143</v>
      </c>
      <c r="M127" s="21">
        <v>180011</v>
      </c>
    </row>
    <row r="128" spans="1:13">
      <c r="A128" s="21" t="s">
        <v>228</v>
      </c>
      <c r="E128" s="21">
        <f t="shared" si="64"/>
        <v>128</v>
      </c>
      <c r="F128" s="9" t="s">
        <v>127</v>
      </c>
      <c r="G128" s="21">
        <v>6</v>
      </c>
      <c r="M128" s="21">
        <f t="shared" ref="M128" si="101">C127*G128</f>
        <v>156</v>
      </c>
    </row>
    <row r="129" spans="1:13">
      <c r="E129" s="21">
        <f t="shared" si="64"/>
        <v>129</v>
      </c>
      <c r="F129" s="9" t="s">
        <v>143</v>
      </c>
      <c r="M129" s="21">
        <v>180012</v>
      </c>
    </row>
    <row r="130" spans="1:13">
      <c r="E130" s="21">
        <f t="shared" si="64"/>
        <v>130</v>
      </c>
      <c r="F130" s="9" t="s">
        <v>127</v>
      </c>
      <c r="G130" s="21">
        <v>6</v>
      </c>
      <c r="M130" s="21">
        <f t="shared" ref="M130" si="102">M128</f>
        <v>156</v>
      </c>
    </row>
    <row r="131" spans="1:13">
      <c r="B131" s="21">
        <f t="shared" ref="B131" si="103">QUOTIENT( D131-1,$G$20)+1</f>
        <v>1</v>
      </c>
      <c r="C131" s="21">
        <f t="shared" ref="C131" si="104">D131-(B131-1)*$G$20</f>
        <v>27</v>
      </c>
      <c r="D131" s="21">
        <f>COUNT($D$26:$D130)+1</f>
        <v>27</v>
      </c>
      <c r="E131" s="21">
        <f t="shared" si="64"/>
        <v>131</v>
      </c>
      <c r="F131" s="9" t="s">
        <v>143</v>
      </c>
      <c r="M131" s="21">
        <v>180011</v>
      </c>
    </row>
    <row r="132" spans="1:13">
      <c r="A132" s="21" t="s">
        <v>228</v>
      </c>
      <c r="E132" s="21">
        <f t="shared" si="64"/>
        <v>132</v>
      </c>
      <c r="F132" s="9" t="s">
        <v>127</v>
      </c>
      <c r="G132" s="21">
        <v>6</v>
      </c>
      <c r="M132" s="21">
        <f t="shared" ref="M132" si="105">C131*G132</f>
        <v>162</v>
      </c>
    </row>
    <row r="133" spans="1:13">
      <c r="E133" s="21">
        <f t="shared" si="64"/>
        <v>133</v>
      </c>
      <c r="F133" s="9" t="s">
        <v>143</v>
      </c>
      <c r="M133" s="21">
        <v>180012</v>
      </c>
    </row>
    <row r="134" spans="1:13">
      <c r="E134" s="21">
        <f t="shared" si="64"/>
        <v>134</v>
      </c>
      <c r="F134" s="9" t="s">
        <v>127</v>
      </c>
      <c r="G134" s="21">
        <v>6</v>
      </c>
      <c r="M134" s="21">
        <f t="shared" ref="M134" si="106">M132</f>
        <v>162</v>
      </c>
    </row>
    <row r="135" spans="1:13">
      <c r="B135" s="21">
        <f t="shared" ref="B135" si="107">QUOTIENT( D135-1,$G$20)+1</f>
        <v>1</v>
      </c>
      <c r="C135" s="21">
        <f t="shared" ref="C135" si="108">D135-(B135-1)*$G$20</f>
        <v>28</v>
      </c>
      <c r="D135" s="21">
        <f>COUNT($D$26:$D134)+1</f>
        <v>28</v>
      </c>
      <c r="E135" s="21">
        <f t="shared" si="64"/>
        <v>135</v>
      </c>
      <c r="F135" s="9" t="s">
        <v>143</v>
      </c>
      <c r="M135" s="21">
        <v>180011</v>
      </c>
    </row>
    <row r="136" spans="1:13">
      <c r="A136" s="21" t="s">
        <v>228</v>
      </c>
      <c r="E136" s="21">
        <f t="shared" si="64"/>
        <v>136</v>
      </c>
      <c r="F136" s="9" t="s">
        <v>127</v>
      </c>
      <c r="G136" s="21">
        <v>6</v>
      </c>
      <c r="M136" s="21">
        <f t="shared" ref="M136" si="109">C135*G136</f>
        <v>168</v>
      </c>
    </row>
    <row r="137" spans="1:13">
      <c r="E137" s="21">
        <f t="shared" si="64"/>
        <v>137</v>
      </c>
      <c r="F137" s="9" t="s">
        <v>143</v>
      </c>
      <c r="M137" s="21">
        <v>180012</v>
      </c>
    </row>
    <row r="138" spans="1:13">
      <c r="E138" s="21">
        <f t="shared" si="64"/>
        <v>138</v>
      </c>
      <c r="F138" s="9" t="s">
        <v>127</v>
      </c>
      <c r="G138" s="21">
        <v>6</v>
      </c>
      <c r="M138" s="21">
        <f t="shared" ref="M138" si="110">M136</f>
        <v>168</v>
      </c>
    </row>
    <row r="139" spans="1:13">
      <c r="B139" s="21">
        <f t="shared" ref="B139" si="111">QUOTIENT( D139-1,$G$20)+1</f>
        <v>1</v>
      </c>
      <c r="C139" s="21">
        <f t="shared" ref="C139" si="112">D139-(B139-1)*$G$20</f>
        <v>29</v>
      </c>
      <c r="D139" s="21">
        <f>COUNT($D$26:$D138)+1</f>
        <v>29</v>
      </c>
      <c r="E139" s="21">
        <f t="shared" si="64"/>
        <v>139</v>
      </c>
      <c r="F139" s="9" t="s">
        <v>143</v>
      </c>
      <c r="M139" s="21">
        <v>180011</v>
      </c>
    </row>
    <row r="140" spans="1:13">
      <c r="A140" s="21" t="s">
        <v>228</v>
      </c>
      <c r="E140" s="21">
        <f t="shared" si="64"/>
        <v>140</v>
      </c>
      <c r="F140" s="9" t="s">
        <v>127</v>
      </c>
      <c r="G140" s="21">
        <v>6</v>
      </c>
      <c r="M140" s="21">
        <f t="shared" ref="M140" si="113">C139*G140</f>
        <v>174</v>
      </c>
    </row>
    <row r="141" spans="1:13">
      <c r="E141" s="21">
        <f t="shared" si="64"/>
        <v>141</v>
      </c>
      <c r="F141" s="9" t="s">
        <v>143</v>
      </c>
      <c r="M141" s="21">
        <v>180012</v>
      </c>
    </row>
    <row r="142" spans="1:13">
      <c r="E142" s="21">
        <f t="shared" si="64"/>
        <v>142</v>
      </c>
      <c r="F142" s="9" t="s">
        <v>127</v>
      </c>
      <c r="G142" s="21">
        <v>6</v>
      </c>
      <c r="M142" s="21">
        <f t="shared" ref="M142" si="114">M140</f>
        <v>174</v>
      </c>
    </row>
    <row r="143" spans="1:13">
      <c r="B143" s="21">
        <f t="shared" ref="B143" si="115">QUOTIENT( D143-1,$G$20)+1</f>
        <v>1</v>
      </c>
      <c r="C143" s="21">
        <f t="shared" ref="C143" si="116">D143-(B143-1)*$G$20</f>
        <v>30</v>
      </c>
      <c r="D143" s="21">
        <f>COUNT($D$26:$D142)+1</f>
        <v>30</v>
      </c>
      <c r="E143" s="21">
        <f t="shared" si="64"/>
        <v>143</v>
      </c>
      <c r="F143" s="9" t="s">
        <v>143</v>
      </c>
      <c r="M143" s="21">
        <v>180011</v>
      </c>
    </row>
    <row r="144" spans="1:13">
      <c r="A144" s="21" t="s">
        <v>228</v>
      </c>
      <c r="E144" s="21">
        <f t="shared" si="64"/>
        <v>144</v>
      </c>
      <c r="F144" s="9" t="s">
        <v>127</v>
      </c>
      <c r="G144" s="21">
        <v>6</v>
      </c>
      <c r="M144" s="21">
        <f t="shared" ref="M144" si="117">C143*G144</f>
        <v>180</v>
      </c>
    </row>
    <row r="145" spans="1:13">
      <c r="E145" s="21">
        <f t="shared" si="64"/>
        <v>145</v>
      </c>
      <c r="F145" s="9" t="s">
        <v>143</v>
      </c>
      <c r="M145" s="21">
        <v>180012</v>
      </c>
    </row>
    <row r="146" spans="1:13">
      <c r="E146" s="21">
        <f t="shared" si="64"/>
        <v>146</v>
      </c>
      <c r="F146" s="9" t="s">
        <v>127</v>
      </c>
      <c r="G146" s="21">
        <v>6</v>
      </c>
      <c r="M146" s="21">
        <f t="shared" ref="M146" si="118">M144</f>
        <v>180</v>
      </c>
    </row>
    <row r="147" spans="1:13">
      <c r="B147" s="21">
        <f t="shared" ref="B147" si="119">QUOTIENT( D147-1,$G$20)+1</f>
        <v>1</v>
      </c>
      <c r="C147" s="21">
        <f t="shared" ref="C147" si="120">D147-(B147-1)*$G$20</f>
        <v>31</v>
      </c>
      <c r="D147" s="21">
        <f>COUNT($D$26:$D146)+1</f>
        <v>31</v>
      </c>
      <c r="E147" s="21">
        <f t="shared" si="64"/>
        <v>147</v>
      </c>
      <c r="F147" s="9" t="s">
        <v>143</v>
      </c>
      <c r="M147" s="21">
        <v>180011</v>
      </c>
    </row>
    <row r="148" spans="1:13">
      <c r="A148" s="21" t="s">
        <v>228</v>
      </c>
      <c r="E148" s="21">
        <f t="shared" si="64"/>
        <v>148</v>
      </c>
      <c r="F148" s="9" t="s">
        <v>127</v>
      </c>
      <c r="G148" s="21">
        <v>6</v>
      </c>
      <c r="M148" s="21">
        <f t="shared" ref="M148" si="121">C147*G148</f>
        <v>186</v>
      </c>
    </row>
    <row r="149" spans="1:13">
      <c r="E149" s="21">
        <f t="shared" si="64"/>
        <v>149</v>
      </c>
      <c r="F149" s="9" t="s">
        <v>143</v>
      </c>
      <c r="M149" s="21">
        <v>180012</v>
      </c>
    </row>
    <row r="150" spans="1:13">
      <c r="E150" s="21">
        <f t="shared" si="64"/>
        <v>150</v>
      </c>
      <c r="F150" s="9" t="s">
        <v>127</v>
      </c>
      <c r="G150" s="21">
        <v>6</v>
      </c>
      <c r="M150" s="21">
        <f t="shared" ref="M150" si="122">M148</f>
        <v>186</v>
      </c>
    </row>
    <row r="151" spans="1:13">
      <c r="B151" s="21">
        <f t="shared" ref="B151" si="123">QUOTIENT( D151-1,$G$20)+1</f>
        <v>1</v>
      </c>
      <c r="C151" s="21">
        <f t="shared" ref="C151" si="124">D151-(B151-1)*$G$20</f>
        <v>32</v>
      </c>
      <c r="D151" s="21">
        <f>COUNT($D$26:$D150)+1</f>
        <v>32</v>
      </c>
      <c r="E151" s="21">
        <f t="shared" si="64"/>
        <v>151</v>
      </c>
      <c r="F151" s="9" t="s">
        <v>143</v>
      </c>
      <c r="M151" s="21">
        <v>180011</v>
      </c>
    </row>
    <row r="152" spans="1:13">
      <c r="A152" s="21" t="s">
        <v>228</v>
      </c>
      <c r="E152" s="21">
        <f t="shared" si="64"/>
        <v>152</v>
      </c>
      <c r="F152" s="9" t="s">
        <v>127</v>
      </c>
      <c r="G152" s="21">
        <v>6</v>
      </c>
      <c r="M152" s="21">
        <f t="shared" ref="M152" si="125">C151*G152</f>
        <v>192</v>
      </c>
    </row>
    <row r="153" spans="1:13">
      <c r="E153" s="21">
        <f t="shared" si="64"/>
        <v>153</v>
      </c>
      <c r="F153" s="9" t="s">
        <v>143</v>
      </c>
      <c r="M153" s="21">
        <v>180012</v>
      </c>
    </row>
    <row r="154" spans="1:13">
      <c r="E154" s="21">
        <f t="shared" si="64"/>
        <v>154</v>
      </c>
      <c r="F154" s="9" t="s">
        <v>127</v>
      </c>
      <c r="G154" s="21">
        <v>6</v>
      </c>
      <c r="M154" s="21">
        <f t="shared" ref="M154" si="126">M152</f>
        <v>192</v>
      </c>
    </row>
    <row r="155" spans="1:13">
      <c r="B155" s="21">
        <f t="shared" ref="B155" si="127">QUOTIENT( D155-1,$G$20)+1</f>
        <v>1</v>
      </c>
      <c r="C155" s="21">
        <f t="shared" ref="C155" si="128">D155-(B155-1)*$G$20</f>
        <v>33</v>
      </c>
      <c r="D155" s="21">
        <f>COUNT($D$26:$D154)+1</f>
        <v>33</v>
      </c>
      <c r="E155" s="21">
        <f t="shared" ref="E155:E218" si="129">ROW(E155)</f>
        <v>155</v>
      </c>
      <c r="F155" s="9" t="s">
        <v>143</v>
      </c>
      <c r="M155" s="21">
        <v>180011</v>
      </c>
    </row>
    <row r="156" spans="1:13">
      <c r="A156" s="21" t="s">
        <v>228</v>
      </c>
      <c r="E156" s="21">
        <f t="shared" si="129"/>
        <v>156</v>
      </c>
      <c r="F156" s="9" t="s">
        <v>127</v>
      </c>
      <c r="G156" s="21">
        <v>6</v>
      </c>
      <c r="M156" s="21">
        <f t="shared" ref="M156" si="130">C155*G156</f>
        <v>198</v>
      </c>
    </row>
    <row r="157" spans="1:13">
      <c r="E157" s="21">
        <f t="shared" si="129"/>
        <v>157</v>
      </c>
      <c r="F157" s="9" t="s">
        <v>143</v>
      </c>
      <c r="M157" s="21">
        <v>180012</v>
      </c>
    </row>
    <row r="158" spans="1:13">
      <c r="E158" s="21">
        <f t="shared" si="129"/>
        <v>158</v>
      </c>
      <c r="F158" s="9" t="s">
        <v>127</v>
      </c>
      <c r="G158" s="21">
        <v>6</v>
      </c>
      <c r="M158" s="21">
        <f t="shared" ref="M158" si="131">M156</f>
        <v>198</v>
      </c>
    </row>
    <row r="159" spans="1:13">
      <c r="B159" s="21">
        <f t="shared" ref="B159" si="132">QUOTIENT( D159-1,$G$20)+1</f>
        <v>1</v>
      </c>
      <c r="C159" s="21">
        <f t="shared" ref="C159" si="133">D159-(B159-1)*$G$20</f>
        <v>34</v>
      </c>
      <c r="D159" s="21">
        <f>COUNT($D$26:$D158)+1</f>
        <v>34</v>
      </c>
      <c r="E159" s="21">
        <f t="shared" si="129"/>
        <v>159</v>
      </c>
      <c r="F159" s="9" t="s">
        <v>143</v>
      </c>
      <c r="M159" s="21">
        <v>180011</v>
      </c>
    </row>
    <row r="160" spans="1:13">
      <c r="A160" s="21" t="s">
        <v>228</v>
      </c>
      <c r="E160" s="21">
        <f t="shared" si="129"/>
        <v>160</v>
      </c>
      <c r="F160" s="9" t="s">
        <v>127</v>
      </c>
      <c r="G160" s="21">
        <v>6</v>
      </c>
      <c r="M160" s="21">
        <f t="shared" ref="M160" si="134">C159*G160</f>
        <v>204</v>
      </c>
    </row>
    <row r="161" spans="1:13">
      <c r="E161" s="21">
        <f t="shared" si="129"/>
        <v>161</v>
      </c>
      <c r="F161" s="9" t="s">
        <v>143</v>
      </c>
      <c r="M161" s="21">
        <v>180012</v>
      </c>
    </row>
    <row r="162" spans="1:13">
      <c r="E162" s="21">
        <f t="shared" si="129"/>
        <v>162</v>
      </c>
      <c r="F162" s="9" t="s">
        <v>127</v>
      </c>
      <c r="G162" s="21">
        <v>6</v>
      </c>
      <c r="M162" s="21">
        <f t="shared" ref="M162" si="135">M160</f>
        <v>204</v>
      </c>
    </row>
    <row r="163" spans="1:13">
      <c r="B163" s="21">
        <f t="shared" ref="B163" si="136">QUOTIENT( D163-1,$G$20)+1</f>
        <v>1</v>
      </c>
      <c r="C163" s="21">
        <f t="shared" ref="C163" si="137">D163-(B163-1)*$G$20</f>
        <v>35</v>
      </c>
      <c r="D163" s="21">
        <f>COUNT($D$26:$D162)+1</f>
        <v>35</v>
      </c>
      <c r="E163" s="21">
        <f t="shared" si="129"/>
        <v>163</v>
      </c>
      <c r="F163" s="9" t="s">
        <v>143</v>
      </c>
      <c r="M163" s="21">
        <v>180011</v>
      </c>
    </row>
    <row r="164" spans="1:13">
      <c r="A164" s="21" t="s">
        <v>228</v>
      </c>
      <c r="E164" s="21">
        <f t="shared" si="129"/>
        <v>164</v>
      </c>
      <c r="F164" s="9" t="s">
        <v>127</v>
      </c>
      <c r="G164" s="21">
        <v>6</v>
      </c>
      <c r="M164" s="21">
        <f t="shared" ref="M164" si="138">C163*G164</f>
        <v>210</v>
      </c>
    </row>
    <row r="165" spans="1:13">
      <c r="E165" s="21">
        <f t="shared" si="129"/>
        <v>165</v>
      </c>
      <c r="F165" s="9" t="s">
        <v>143</v>
      </c>
      <c r="M165" s="21">
        <v>180012</v>
      </c>
    </row>
    <row r="166" spans="1:13">
      <c r="E166" s="21">
        <f t="shared" si="129"/>
        <v>166</v>
      </c>
      <c r="F166" s="9" t="s">
        <v>127</v>
      </c>
      <c r="G166" s="21">
        <v>6</v>
      </c>
      <c r="M166" s="21">
        <f t="shared" ref="M166" si="139">M164</f>
        <v>210</v>
      </c>
    </row>
    <row r="167" spans="1:13">
      <c r="B167" s="21">
        <f t="shared" ref="B167" si="140">QUOTIENT( D167-1,$G$20)+1</f>
        <v>1</v>
      </c>
      <c r="C167" s="21">
        <f t="shared" ref="C167" si="141">D167-(B167-1)*$G$20</f>
        <v>36</v>
      </c>
      <c r="D167" s="21">
        <f>COUNT($D$26:$D166)+1</f>
        <v>36</v>
      </c>
      <c r="E167" s="21">
        <f t="shared" si="129"/>
        <v>167</v>
      </c>
      <c r="F167" s="9" t="s">
        <v>143</v>
      </c>
      <c r="M167" s="21">
        <v>180011</v>
      </c>
    </row>
    <row r="168" spans="1:13">
      <c r="A168" s="21" t="s">
        <v>228</v>
      </c>
      <c r="E168" s="21">
        <f t="shared" si="129"/>
        <v>168</v>
      </c>
      <c r="F168" s="9" t="s">
        <v>127</v>
      </c>
      <c r="G168" s="21">
        <v>6</v>
      </c>
      <c r="M168" s="21">
        <f t="shared" ref="M168" si="142">C167*G168</f>
        <v>216</v>
      </c>
    </row>
    <row r="169" spans="1:13">
      <c r="E169" s="21">
        <f t="shared" si="129"/>
        <v>169</v>
      </c>
      <c r="F169" s="9" t="s">
        <v>143</v>
      </c>
      <c r="M169" s="21">
        <v>180012</v>
      </c>
    </row>
    <row r="170" spans="1:13">
      <c r="E170" s="21">
        <f t="shared" si="129"/>
        <v>170</v>
      </c>
      <c r="F170" s="9" t="s">
        <v>127</v>
      </c>
      <c r="G170" s="21">
        <v>6</v>
      </c>
      <c r="M170" s="21">
        <f t="shared" ref="M170" si="143">M168</f>
        <v>216</v>
      </c>
    </row>
    <row r="171" spans="1:13">
      <c r="B171" s="21">
        <f t="shared" ref="B171" si="144">QUOTIENT( D171-1,$G$20)+1</f>
        <v>1</v>
      </c>
      <c r="C171" s="21">
        <f t="shared" ref="C171" si="145">D171-(B171-1)*$G$20</f>
        <v>37</v>
      </c>
      <c r="D171" s="21">
        <f>COUNT($D$26:$D170)+1</f>
        <v>37</v>
      </c>
      <c r="E171" s="21">
        <f t="shared" si="129"/>
        <v>171</v>
      </c>
      <c r="F171" s="9" t="s">
        <v>143</v>
      </c>
      <c r="M171" s="21">
        <v>180011</v>
      </c>
    </row>
    <row r="172" spans="1:13">
      <c r="A172" s="21" t="s">
        <v>228</v>
      </c>
      <c r="E172" s="21">
        <f t="shared" si="129"/>
        <v>172</v>
      </c>
      <c r="F172" s="9" t="s">
        <v>127</v>
      </c>
      <c r="G172" s="21">
        <v>6</v>
      </c>
      <c r="M172" s="21">
        <f t="shared" ref="M172" si="146">C171*G172</f>
        <v>222</v>
      </c>
    </row>
    <row r="173" spans="1:13">
      <c r="E173" s="21">
        <f t="shared" si="129"/>
        <v>173</v>
      </c>
      <c r="F173" s="9" t="s">
        <v>143</v>
      </c>
      <c r="M173" s="21">
        <v>180012</v>
      </c>
    </row>
    <row r="174" spans="1:13">
      <c r="E174" s="21">
        <f t="shared" si="129"/>
        <v>174</v>
      </c>
      <c r="F174" s="9" t="s">
        <v>127</v>
      </c>
      <c r="G174" s="21">
        <v>6</v>
      </c>
      <c r="M174" s="21">
        <f t="shared" ref="M174" si="147">M172</f>
        <v>222</v>
      </c>
    </row>
    <row r="175" spans="1:13">
      <c r="B175" s="21">
        <f t="shared" ref="B175" si="148">QUOTIENT( D175-1,$G$20)+1</f>
        <v>1</v>
      </c>
      <c r="C175" s="21">
        <f t="shared" ref="C175" si="149">D175-(B175-1)*$G$20</f>
        <v>38</v>
      </c>
      <c r="D175" s="21">
        <f>COUNT($D$26:$D174)+1</f>
        <v>38</v>
      </c>
      <c r="E175" s="21">
        <f t="shared" si="129"/>
        <v>175</v>
      </c>
      <c r="F175" s="9" t="s">
        <v>143</v>
      </c>
      <c r="M175" s="21">
        <v>180011</v>
      </c>
    </row>
    <row r="176" spans="1:13">
      <c r="A176" s="21" t="s">
        <v>228</v>
      </c>
      <c r="E176" s="21">
        <f t="shared" si="129"/>
        <v>176</v>
      </c>
      <c r="F176" s="9" t="s">
        <v>127</v>
      </c>
      <c r="G176" s="21">
        <v>6</v>
      </c>
      <c r="M176" s="21">
        <f t="shared" ref="M176" si="150">C175*G176</f>
        <v>228</v>
      </c>
    </row>
    <row r="177" spans="1:13">
      <c r="E177" s="21">
        <f t="shared" si="129"/>
        <v>177</v>
      </c>
      <c r="F177" s="9" t="s">
        <v>143</v>
      </c>
      <c r="M177" s="21">
        <v>180012</v>
      </c>
    </row>
    <row r="178" spans="1:13">
      <c r="E178" s="21">
        <f t="shared" si="129"/>
        <v>178</v>
      </c>
      <c r="F178" s="9" t="s">
        <v>127</v>
      </c>
      <c r="G178" s="21">
        <v>6</v>
      </c>
      <c r="M178" s="21">
        <f t="shared" ref="M178" si="151">M176</f>
        <v>228</v>
      </c>
    </row>
    <row r="179" spans="1:13">
      <c r="B179" s="21">
        <f t="shared" ref="B179" si="152">QUOTIENT( D179-1,$G$20)+1</f>
        <v>1</v>
      </c>
      <c r="C179" s="21">
        <f t="shared" ref="C179" si="153">D179-(B179-1)*$G$20</f>
        <v>39</v>
      </c>
      <c r="D179" s="21">
        <f>COUNT($D$26:$D178)+1</f>
        <v>39</v>
      </c>
      <c r="E179" s="21">
        <f t="shared" si="129"/>
        <v>179</v>
      </c>
      <c r="F179" s="9" t="s">
        <v>143</v>
      </c>
      <c r="M179" s="21">
        <v>180011</v>
      </c>
    </row>
    <row r="180" spans="1:13">
      <c r="A180" s="21" t="s">
        <v>228</v>
      </c>
      <c r="E180" s="21">
        <f t="shared" si="129"/>
        <v>180</v>
      </c>
      <c r="F180" s="9" t="s">
        <v>127</v>
      </c>
      <c r="G180" s="21">
        <v>6</v>
      </c>
      <c r="M180" s="21">
        <f t="shared" ref="M180" si="154">C179*G180</f>
        <v>234</v>
      </c>
    </row>
    <row r="181" spans="1:13">
      <c r="E181" s="21">
        <f t="shared" si="129"/>
        <v>181</v>
      </c>
      <c r="F181" s="9" t="s">
        <v>143</v>
      </c>
      <c r="M181" s="21">
        <v>180012</v>
      </c>
    </row>
    <row r="182" spans="1:13">
      <c r="E182" s="21">
        <f t="shared" si="129"/>
        <v>182</v>
      </c>
      <c r="F182" s="9" t="s">
        <v>127</v>
      </c>
      <c r="G182" s="21">
        <v>6</v>
      </c>
      <c r="M182" s="21">
        <f t="shared" ref="M182" si="155">M180</f>
        <v>234</v>
      </c>
    </row>
    <row r="183" spans="1:13">
      <c r="B183" s="21">
        <f t="shared" ref="B183" si="156">QUOTIENT( D183-1,$G$20)+1</f>
        <v>1</v>
      </c>
      <c r="C183" s="21">
        <f t="shared" ref="C183" si="157">D183-(B183-1)*$G$20</f>
        <v>40</v>
      </c>
      <c r="D183" s="21">
        <f>COUNT($D$26:$D182)+1</f>
        <v>40</v>
      </c>
      <c r="E183" s="21">
        <f t="shared" si="129"/>
        <v>183</v>
      </c>
      <c r="F183" s="9" t="s">
        <v>143</v>
      </c>
      <c r="M183" s="21">
        <v>180011</v>
      </c>
    </row>
    <row r="184" spans="1:13">
      <c r="A184" s="21" t="s">
        <v>228</v>
      </c>
      <c r="E184" s="21">
        <f t="shared" si="129"/>
        <v>184</v>
      </c>
      <c r="F184" s="9" t="s">
        <v>127</v>
      </c>
      <c r="G184" s="21">
        <v>6</v>
      </c>
      <c r="M184" s="21">
        <f t="shared" ref="M184" si="158">C183*G184</f>
        <v>240</v>
      </c>
    </row>
    <row r="185" spans="1:13">
      <c r="E185" s="21">
        <f t="shared" si="129"/>
        <v>185</v>
      </c>
      <c r="F185" s="9" t="s">
        <v>143</v>
      </c>
      <c r="M185" s="21">
        <v>180012</v>
      </c>
    </row>
    <row r="186" spans="1:13">
      <c r="E186" s="21">
        <f t="shared" si="129"/>
        <v>186</v>
      </c>
      <c r="F186" s="9" t="s">
        <v>127</v>
      </c>
      <c r="G186" s="21">
        <v>6</v>
      </c>
      <c r="M186" s="21">
        <f t="shared" ref="M186" si="159">M184</f>
        <v>240</v>
      </c>
    </row>
    <row r="187" spans="1:13">
      <c r="B187" s="21">
        <f t="shared" ref="B187" si="160">QUOTIENT( D187-1,$G$20)+1</f>
        <v>1</v>
      </c>
      <c r="C187" s="21">
        <f t="shared" ref="C187" si="161">D187-(B187-1)*$G$20</f>
        <v>41</v>
      </c>
      <c r="D187" s="21">
        <f>COUNT($D$26:$D186)+1</f>
        <v>41</v>
      </c>
      <c r="E187" s="21">
        <f t="shared" si="129"/>
        <v>187</v>
      </c>
      <c r="F187" s="9" t="s">
        <v>143</v>
      </c>
      <c r="M187" s="21">
        <v>180011</v>
      </c>
    </row>
    <row r="188" spans="1:13">
      <c r="A188" s="21" t="s">
        <v>228</v>
      </c>
      <c r="E188" s="21">
        <f t="shared" si="129"/>
        <v>188</v>
      </c>
      <c r="F188" s="9" t="s">
        <v>127</v>
      </c>
      <c r="G188" s="21">
        <v>6</v>
      </c>
      <c r="M188" s="21">
        <f t="shared" ref="M188" si="162">C187*G188</f>
        <v>246</v>
      </c>
    </row>
    <row r="189" spans="1:13">
      <c r="E189" s="21">
        <f t="shared" si="129"/>
        <v>189</v>
      </c>
      <c r="F189" s="9" t="s">
        <v>143</v>
      </c>
      <c r="M189" s="21">
        <v>180012</v>
      </c>
    </row>
    <row r="190" spans="1:13">
      <c r="E190" s="21">
        <f t="shared" si="129"/>
        <v>190</v>
      </c>
      <c r="F190" s="9" t="s">
        <v>127</v>
      </c>
      <c r="G190" s="21">
        <v>6</v>
      </c>
      <c r="M190" s="21">
        <f t="shared" ref="M190" si="163">M188</f>
        <v>246</v>
      </c>
    </row>
    <row r="191" spans="1:13">
      <c r="B191" s="21">
        <f t="shared" ref="B191" si="164">QUOTIENT( D191-1,$G$20)+1</f>
        <v>1</v>
      </c>
      <c r="C191" s="21">
        <f t="shared" ref="C191" si="165">D191-(B191-1)*$G$20</f>
        <v>42</v>
      </c>
      <c r="D191" s="21">
        <f>COUNT($D$26:$D190)+1</f>
        <v>42</v>
      </c>
      <c r="E191" s="21">
        <f t="shared" si="129"/>
        <v>191</v>
      </c>
      <c r="F191" s="9" t="s">
        <v>143</v>
      </c>
      <c r="M191" s="21">
        <v>180011</v>
      </c>
    </row>
    <row r="192" spans="1:13">
      <c r="A192" s="21" t="s">
        <v>228</v>
      </c>
      <c r="E192" s="21">
        <f t="shared" si="129"/>
        <v>192</v>
      </c>
      <c r="F192" s="9" t="s">
        <v>127</v>
      </c>
      <c r="G192" s="21">
        <v>6</v>
      </c>
      <c r="M192" s="21">
        <f t="shared" ref="M192" si="166">C191*G192</f>
        <v>252</v>
      </c>
    </row>
    <row r="193" spans="1:13">
      <c r="E193" s="21">
        <f t="shared" si="129"/>
        <v>193</v>
      </c>
      <c r="F193" s="9" t="s">
        <v>143</v>
      </c>
      <c r="M193" s="21">
        <v>180012</v>
      </c>
    </row>
    <row r="194" spans="1:13">
      <c r="E194" s="21">
        <f t="shared" si="129"/>
        <v>194</v>
      </c>
      <c r="F194" s="9" t="s">
        <v>127</v>
      </c>
      <c r="G194" s="21">
        <v>6</v>
      </c>
      <c r="M194" s="21">
        <f t="shared" ref="M194" si="167">M192</f>
        <v>252</v>
      </c>
    </row>
    <row r="195" spans="1:13">
      <c r="B195" s="21">
        <f t="shared" ref="B195" si="168">QUOTIENT( D195-1,$G$20)+1</f>
        <v>1</v>
      </c>
      <c r="C195" s="21">
        <f t="shared" ref="C195" si="169">D195-(B195-1)*$G$20</f>
        <v>43</v>
      </c>
      <c r="D195" s="21">
        <f>COUNT($D$26:$D194)+1</f>
        <v>43</v>
      </c>
      <c r="E195" s="21">
        <f t="shared" si="129"/>
        <v>195</v>
      </c>
      <c r="F195" s="9" t="s">
        <v>143</v>
      </c>
      <c r="M195" s="21">
        <v>180011</v>
      </c>
    </row>
    <row r="196" spans="1:13">
      <c r="A196" s="21" t="s">
        <v>228</v>
      </c>
      <c r="E196" s="21">
        <f t="shared" si="129"/>
        <v>196</v>
      </c>
      <c r="F196" s="9" t="s">
        <v>127</v>
      </c>
      <c r="G196" s="21">
        <v>6</v>
      </c>
      <c r="M196" s="21">
        <f t="shared" ref="M196" si="170">C195*G196</f>
        <v>258</v>
      </c>
    </row>
    <row r="197" spans="1:13">
      <c r="E197" s="21">
        <f t="shared" si="129"/>
        <v>197</v>
      </c>
      <c r="F197" s="9" t="s">
        <v>143</v>
      </c>
      <c r="M197" s="21">
        <v>180012</v>
      </c>
    </row>
    <row r="198" spans="1:13">
      <c r="E198" s="21">
        <f t="shared" si="129"/>
        <v>198</v>
      </c>
      <c r="F198" s="9" t="s">
        <v>127</v>
      </c>
      <c r="G198" s="21">
        <v>6</v>
      </c>
      <c r="M198" s="21">
        <f t="shared" ref="M198" si="171">M196</f>
        <v>258</v>
      </c>
    </row>
    <row r="199" spans="1:13">
      <c r="B199" s="21">
        <f t="shared" ref="B199" si="172">QUOTIENT( D199-1,$G$20)+1</f>
        <v>1</v>
      </c>
      <c r="C199" s="21">
        <f t="shared" ref="C199" si="173">D199-(B199-1)*$G$20</f>
        <v>44</v>
      </c>
      <c r="D199" s="21">
        <f>COUNT($D$26:$D198)+1</f>
        <v>44</v>
      </c>
      <c r="E199" s="21">
        <f t="shared" si="129"/>
        <v>199</v>
      </c>
      <c r="F199" s="9" t="s">
        <v>143</v>
      </c>
      <c r="M199" s="21">
        <v>180011</v>
      </c>
    </row>
    <row r="200" spans="1:13">
      <c r="A200" s="21" t="s">
        <v>228</v>
      </c>
      <c r="E200" s="21">
        <f t="shared" si="129"/>
        <v>200</v>
      </c>
      <c r="F200" s="9" t="s">
        <v>127</v>
      </c>
      <c r="G200" s="21">
        <v>6</v>
      </c>
      <c r="M200" s="21">
        <f t="shared" ref="M200" si="174">C199*G200</f>
        <v>264</v>
      </c>
    </row>
    <row r="201" spans="1:13">
      <c r="E201" s="21">
        <f t="shared" si="129"/>
        <v>201</v>
      </c>
      <c r="F201" s="9" t="s">
        <v>143</v>
      </c>
      <c r="M201" s="21">
        <v>180012</v>
      </c>
    </row>
    <row r="202" spans="1:13">
      <c r="E202" s="21">
        <f t="shared" si="129"/>
        <v>202</v>
      </c>
      <c r="F202" s="9" t="s">
        <v>127</v>
      </c>
      <c r="G202" s="21">
        <v>6</v>
      </c>
      <c r="M202" s="21">
        <f t="shared" ref="M202" si="175">M200</f>
        <v>264</v>
      </c>
    </row>
    <row r="203" spans="1:13">
      <c r="B203" s="21">
        <f t="shared" ref="B203" si="176">QUOTIENT( D203-1,$G$20)+1</f>
        <v>1</v>
      </c>
      <c r="C203" s="21">
        <f t="shared" ref="C203" si="177">D203-(B203-1)*$G$20</f>
        <v>45</v>
      </c>
      <c r="D203" s="21">
        <f>COUNT($D$26:$D202)+1</f>
        <v>45</v>
      </c>
      <c r="E203" s="21">
        <f t="shared" si="129"/>
        <v>203</v>
      </c>
      <c r="F203" s="9" t="s">
        <v>143</v>
      </c>
      <c r="M203" s="21">
        <v>180011</v>
      </c>
    </row>
    <row r="204" spans="1:13">
      <c r="A204" s="21" t="s">
        <v>228</v>
      </c>
      <c r="E204" s="21">
        <f t="shared" si="129"/>
        <v>204</v>
      </c>
      <c r="F204" s="9" t="s">
        <v>127</v>
      </c>
      <c r="G204" s="21">
        <v>6</v>
      </c>
      <c r="M204" s="21">
        <f t="shared" ref="M204" si="178">C203*G204</f>
        <v>270</v>
      </c>
    </row>
    <row r="205" spans="1:13">
      <c r="E205" s="21">
        <f t="shared" si="129"/>
        <v>205</v>
      </c>
      <c r="F205" s="9" t="s">
        <v>143</v>
      </c>
      <c r="M205" s="21">
        <v>180012</v>
      </c>
    </row>
    <row r="206" spans="1:13">
      <c r="E206" s="21">
        <f t="shared" si="129"/>
        <v>206</v>
      </c>
      <c r="F206" s="9" t="s">
        <v>127</v>
      </c>
      <c r="G206" s="21">
        <v>6</v>
      </c>
      <c r="M206" s="21">
        <f t="shared" ref="M206" si="179">M204</f>
        <v>270</v>
      </c>
    </row>
    <row r="207" spans="1:13">
      <c r="B207" s="21">
        <f t="shared" ref="B207" si="180">QUOTIENT( D207-1,$G$20)+1</f>
        <v>1</v>
      </c>
      <c r="C207" s="21">
        <f t="shared" ref="C207" si="181">D207-(B207-1)*$G$20</f>
        <v>46</v>
      </c>
      <c r="D207" s="21">
        <f>COUNT($D$26:$D206)+1</f>
        <v>46</v>
      </c>
      <c r="E207" s="21">
        <f t="shared" si="129"/>
        <v>207</v>
      </c>
      <c r="F207" s="9" t="s">
        <v>143</v>
      </c>
      <c r="M207" s="21">
        <v>180011</v>
      </c>
    </row>
    <row r="208" spans="1:13">
      <c r="A208" s="21" t="s">
        <v>228</v>
      </c>
      <c r="E208" s="21">
        <f t="shared" si="129"/>
        <v>208</v>
      </c>
      <c r="F208" s="9" t="s">
        <v>127</v>
      </c>
      <c r="G208" s="21">
        <v>6</v>
      </c>
      <c r="M208" s="21">
        <f t="shared" ref="M208" si="182">C207*G208</f>
        <v>276</v>
      </c>
    </row>
    <row r="209" spans="1:13">
      <c r="E209" s="21">
        <f t="shared" si="129"/>
        <v>209</v>
      </c>
      <c r="F209" s="9" t="s">
        <v>143</v>
      </c>
      <c r="M209" s="21">
        <v>180012</v>
      </c>
    </row>
    <row r="210" spans="1:13">
      <c r="E210" s="21">
        <f t="shared" si="129"/>
        <v>210</v>
      </c>
      <c r="F210" s="9" t="s">
        <v>127</v>
      </c>
      <c r="G210" s="21">
        <v>6</v>
      </c>
      <c r="M210" s="21">
        <f t="shared" ref="M210" si="183">M208</f>
        <v>276</v>
      </c>
    </row>
    <row r="211" spans="1:13">
      <c r="B211" s="21">
        <f t="shared" ref="B211" si="184">QUOTIENT( D211-1,$G$20)+1</f>
        <v>1</v>
      </c>
      <c r="C211" s="21">
        <f t="shared" ref="C211" si="185">D211-(B211-1)*$G$20</f>
        <v>47</v>
      </c>
      <c r="D211" s="21">
        <f>COUNT($D$26:$D210)+1</f>
        <v>47</v>
      </c>
      <c r="E211" s="21">
        <f t="shared" si="129"/>
        <v>211</v>
      </c>
      <c r="F211" s="9" t="s">
        <v>143</v>
      </c>
      <c r="M211" s="21">
        <v>180011</v>
      </c>
    </row>
    <row r="212" spans="1:13">
      <c r="A212" s="21" t="s">
        <v>228</v>
      </c>
      <c r="E212" s="21">
        <f t="shared" si="129"/>
        <v>212</v>
      </c>
      <c r="F212" s="9" t="s">
        <v>127</v>
      </c>
      <c r="G212" s="21">
        <v>6</v>
      </c>
      <c r="M212" s="21">
        <f t="shared" ref="M212" si="186">C211*G212</f>
        <v>282</v>
      </c>
    </row>
    <row r="213" spans="1:13">
      <c r="E213" s="21">
        <f t="shared" si="129"/>
        <v>213</v>
      </c>
      <c r="F213" s="9" t="s">
        <v>143</v>
      </c>
      <c r="M213" s="21">
        <v>180012</v>
      </c>
    </row>
    <row r="214" spans="1:13">
      <c r="E214" s="21">
        <f t="shared" si="129"/>
        <v>214</v>
      </c>
      <c r="F214" s="9" t="s">
        <v>127</v>
      </c>
      <c r="G214" s="21">
        <v>6</v>
      </c>
      <c r="M214" s="21">
        <f t="shared" ref="M214" si="187">M212</f>
        <v>282</v>
      </c>
    </row>
    <row r="215" spans="1:13">
      <c r="B215" s="21">
        <f t="shared" ref="B215" si="188">QUOTIENT( D215-1,$G$20)+1</f>
        <v>1</v>
      </c>
      <c r="C215" s="21">
        <f t="shared" ref="C215" si="189">D215-(B215-1)*$G$20</f>
        <v>48</v>
      </c>
      <c r="D215" s="21">
        <f>COUNT($D$26:$D214)+1</f>
        <v>48</v>
      </c>
      <c r="E215" s="21">
        <f t="shared" si="129"/>
        <v>215</v>
      </c>
      <c r="F215" s="9" t="s">
        <v>143</v>
      </c>
      <c r="M215" s="21">
        <v>180011</v>
      </c>
    </row>
    <row r="216" spans="1:13">
      <c r="A216" s="21" t="s">
        <v>228</v>
      </c>
      <c r="E216" s="21">
        <f t="shared" si="129"/>
        <v>216</v>
      </c>
      <c r="F216" s="9" t="s">
        <v>127</v>
      </c>
      <c r="G216" s="21">
        <v>6</v>
      </c>
      <c r="M216" s="21">
        <f t="shared" ref="M216" si="190">C215*G216</f>
        <v>288</v>
      </c>
    </row>
    <row r="217" spans="1:13">
      <c r="E217" s="21">
        <f t="shared" si="129"/>
        <v>217</v>
      </c>
      <c r="F217" s="9" t="s">
        <v>143</v>
      </c>
      <c r="M217" s="21">
        <v>180012</v>
      </c>
    </row>
    <row r="218" spans="1:13">
      <c r="E218" s="21">
        <f t="shared" si="129"/>
        <v>218</v>
      </c>
      <c r="F218" s="9" t="s">
        <v>127</v>
      </c>
      <c r="G218" s="21">
        <v>6</v>
      </c>
      <c r="M218" s="21">
        <f t="shared" ref="M218" si="191">M216</f>
        <v>288</v>
      </c>
    </row>
    <row r="219" spans="1:13">
      <c r="B219" s="21">
        <f t="shared" ref="B219" si="192">QUOTIENT( D219-1,$G$20)+1</f>
        <v>1</v>
      </c>
      <c r="C219" s="21">
        <f t="shared" ref="C219" si="193">D219-(B219-1)*$G$20</f>
        <v>49</v>
      </c>
      <c r="D219" s="21">
        <f>COUNT($D$26:$D218)+1</f>
        <v>49</v>
      </c>
      <c r="E219" s="21">
        <f t="shared" ref="E219:E282" si="194">ROW(E219)</f>
        <v>219</v>
      </c>
      <c r="F219" s="9" t="s">
        <v>143</v>
      </c>
      <c r="M219" s="21">
        <v>180011</v>
      </c>
    </row>
    <row r="220" spans="1:13">
      <c r="A220" s="21" t="s">
        <v>228</v>
      </c>
      <c r="E220" s="21">
        <f t="shared" si="194"/>
        <v>220</v>
      </c>
      <c r="F220" s="9" t="s">
        <v>127</v>
      </c>
      <c r="G220" s="21">
        <v>6</v>
      </c>
      <c r="M220" s="21">
        <f t="shared" ref="M220" si="195">C219*G220</f>
        <v>294</v>
      </c>
    </row>
    <row r="221" spans="1:13">
      <c r="E221" s="21">
        <f t="shared" si="194"/>
        <v>221</v>
      </c>
      <c r="F221" s="9" t="s">
        <v>143</v>
      </c>
      <c r="M221" s="21">
        <v>180012</v>
      </c>
    </row>
    <row r="222" spans="1:13">
      <c r="E222" s="21">
        <f t="shared" si="194"/>
        <v>222</v>
      </c>
      <c r="F222" s="9" t="s">
        <v>127</v>
      </c>
      <c r="G222" s="21">
        <v>6</v>
      </c>
      <c r="M222" s="21">
        <f t="shared" ref="M222" si="196">M220</f>
        <v>294</v>
      </c>
    </row>
    <row r="223" spans="1:13">
      <c r="B223" s="21">
        <f t="shared" ref="B223" si="197">QUOTIENT( D223-1,$G$20)+1</f>
        <v>1</v>
      </c>
      <c r="C223" s="21">
        <f t="shared" ref="C223" si="198">D223-(B223-1)*$G$20</f>
        <v>50</v>
      </c>
      <c r="D223" s="21">
        <f>COUNT($D$26:$D222)+1</f>
        <v>50</v>
      </c>
      <c r="E223" s="21">
        <f t="shared" si="194"/>
        <v>223</v>
      </c>
      <c r="F223" s="9" t="s">
        <v>143</v>
      </c>
      <c r="M223" s="21">
        <v>180011</v>
      </c>
    </row>
    <row r="224" spans="1:13">
      <c r="A224" s="21" t="s">
        <v>228</v>
      </c>
      <c r="E224" s="21">
        <f t="shared" si="194"/>
        <v>224</v>
      </c>
      <c r="F224" s="9" t="s">
        <v>127</v>
      </c>
      <c r="G224" s="21">
        <v>6</v>
      </c>
      <c r="M224" s="21">
        <f t="shared" ref="M224" si="199">C223*G224</f>
        <v>300</v>
      </c>
    </row>
    <row r="225" spans="1:13">
      <c r="E225" s="21">
        <f t="shared" si="194"/>
        <v>225</v>
      </c>
      <c r="F225" s="9" t="s">
        <v>143</v>
      </c>
      <c r="M225" s="21">
        <v>180012</v>
      </c>
    </row>
    <row r="226" spans="1:13">
      <c r="E226" s="21">
        <f t="shared" si="194"/>
        <v>226</v>
      </c>
      <c r="F226" s="9" t="s">
        <v>127</v>
      </c>
      <c r="G226" s="21">
        <v>6</v>
      </c>
      <c r="M226" s="21">
        <f t="shared" ref="M226" si="200">M224</f>
        <v>300</v>
      </c>
    </row>
    <row r="227" spans="1:13">
      <c r="B227" s="21">
        <f t="shared" ref="B227" si="201">QUOTIENT( D227-1,$G$20)+1</f>
        <v>1</v>
      </c>
      <c r="C227" s="21">
        <f t="shared" ref="C227" si="202">D227-(B227-1)*$G$20</f>
        <v>51</v>
      </c>
      <c r="D227" s="21">
        <f>COUNT($D$26:$D226)+1</f>
        <v>51</v>
      </c>
      <c r="E227" s="21">
        <f t="shared" si="194"/>
        <v>227</v>
      </c>
      <c r="F227" s="9" t="s">
        <v>143</v>
      </c>
      <c r="M227" s="21">
        <v>180011</v>
      </c>
    </row>
    <row r="228" spans="1:13">
      <c r="A228" s="21" t="s">
        <v>228</v>
      </c>
      <c r="E228" s="21">
        <f t="shared" si="194"/>
        <v>228</v>
      </c>
      <c r="F228" s="9" t="s">
        <v>127</v>
      </c>
      <c r="G228" s="21">
        <v>6</v>
      </c>
      <c r="M228" s="21">
        <f t="shared" ref="M228" si="203">C227*G228</f>
        <v>306</v>
      </c>
    </row>
    <row r="229" spans="1:13">
      <c r="E229" s="21">
        <f t="shared" si="194"/>
        <v>229</v>
      </c>
      <c r="F229" s="9" t="s">
        <v>143</v>
      </c>
      <c r="M229" s="21">
        <v>180012</v>
      </c>
    </row>
    <row r="230" spans="1:13">
      <c r="E230" s="21">
        <f t="shared" si="194"/>
        <v>230</v>
      </c>
      <c r="F230" s="9" t="s">
        <v>127</v>
      </c>
      <c r="G230" s="21">
        <v>6</v>
      </c>
      <c r="M230" s="21">
        <f t="shared" ref="M230" si="204">M228</f>
        <v>306</v>
      </c>
    </row>
    <row r="231" spans="1:13">
      <c r="B231" s="21">
        <f t="shared" ref="B231" si="205">QUOTIENT( D231-1,$G$20)+1</f>
        <v>1</v>
      </c>
      <c r="C231" s="21">
        <f t="shared" ref="C231" si="206">D231-(B231-1)*$G$20</f>
        <v>52</v>
      </c>
      <c r="D231" s="21">
        <f>COUNT($D$26:$D230)+1</f>
        <v>52</v>
      </c>
      <c r="E231" s="21">
        <f t="shared" si="194"/>
        <v>231</v>
      </c>
      <c r="F231" s="9" t="s">
        <v>143</v>
      </c>
      <c r="M231" s="21">
        <v>180011</v>
      </c>
    </row>
    <row r="232" spans="1:13">
      <c r="A232" s="21" t="s">
        <v>228</v>
      </c>
      <c r="E232" s="21">
        <f t="shared" si="194"/>
        <v>232</v>
      </c>
      <c r="F232" s="9" t="s">
        <v>127</v>
      </c>
      <c r="G232" s="21">
        <v>6</v>
      </c>
      <c r="M232" s="21">
        <f t="shared" ref="M232" si="207">C231*G232</f>
        <v>312</v>
      </c>
    </row>
    <row r="233" spans="1:13">
      <c r="E233" s="21">
        <f t="shared" si="194"/>
        <v>233</v>
      </c>
      <c r="F233" s="9" t="s">
        <v>143</v>
      </c>
      <c r="M233" s="21">
        <v>180012</v>
      </c>
    </row>
    <row r="234" spans="1:13">
      <c r="E234" s="21">
        <f t="shared" si="194"/>
        <v>234</v>
      </c>
      <c r="F234" s="9" t="s">
        <v>127</v>
      </c>
      <c r="G234" s="21">
        <v>6</v>
      </c>
      <c r="M234" s="21">
        <f t="shared" ref="M234" si="208">M232</f>
        <v>312</v>
      </c>
    </row>
    <row r="235" spans="1:13">
      <c r="B235" s="21">
        <f t="shared" ref="B235" si="209">QUOTIENT( D235-1,$G$20)+1</f>
        <v>1</v>
      </c>
      <c r="C235" s="21">
        <f t="shared" ref="C235" si="210">D235-(B235-1)*$G$20</f>
        <v>53</v>
      </c>
      <c r="D235" s="21">
        <f>COUNT($D$26:$D234)+1</f>
        <v>53</v>
      </c>
      <c r="E235" s="21">
        <f t="shared" si="194"/>
        <v>235</v>
      </c>
      <c r="F235" s="9" t="s">
        <v>143</v>
      </c>
      <c r="M235" s="21">
        <v>180011</v>
      </c>
    </row>
    <row r="236" spans="1:13">
      <c r="A236" s="21" t="s">
        <v>228</v>
      </c>
      <c r="E236" s="21">
        <f t="shared" si="194"/>
        <v>236</v>
      </c>
      <c r="F236" s="9" t="s">
        <v>127</v>
      </c>
      <c r="G236" s="21">
        <v>6</v>
      </c>
      <c r="M236" s="21">
        <f t="shared" ref="M236" si="211">C235*G236</f>
        <v>318</v>
      </c>
    </row>
    <row r="237" spans="1:13">
      <c r="E237" s="21">
        <f t="shared" si="194"/>
        <v>237</v>
      </c>
      <c r="F237" s="9" t="s">
        <v>143</v>
      </c>
      <c r="M237" s="21">
        <v>180012</v>
      </c>
    </row>
    <row r="238" spans="1:13">
      <c r="E238" s="21">
        <f t="shared" si="194"/>
        <v>238</v>
      </c>
      <c r="F238" s="9" t="s">
        <v>127</v>
      </c>
      <c r="G238" s="21">
        <v>6</v>
      </c>
      <c r="M238" s="21">
        <f t="shared" ref="M238" si="212">M236</f>
        <v>318</v>
      </c>
    </row>
    <row r="239" spans="1:13">
      <c r="B239" s="21">
        <f t="shared" ref="B239" si="213">QUOTIENT( D239-1,$G$20)+1</f>
        <v>1</v>
      </c>
      <c r="C239" s="21">
        <f t="shared" ref="C239" si="214">D239-(B239-1)*$G$20</f>
        <v>54</v>
      </c>
      <c r="D239" s="21">
        <f>COUNT($D$26:$D238)+1</f>
        <v>54</v>
      </c>
      <c r="E239" s="21">
        <f t="shared" si="194"/>
        <v>239</v>
      </c>
      <c r="F239" s="9" t="s">
        <v>143</v>
      </c>
      <c r="M239" s="21">
        <v>180011</v>
      </c>
    </row>
    <row r="240" spans="1:13">
      <c r="A240" s="21" t="s">
        <v>228</v>
      </c>
      <c r="E240" s="21">
        <f t="shared" si="194"/>
        <v>240</v>
      </c>
      <c r="F240" s="9" t="s">
        <v>127</v>
      </c>
      <c r="G240" s="21">
        <v>6</v>
      </c>
      <c r="M240" s="21">
        <f t="shared" ref="M240" si="215">C239*G240</f>
        <v>324</v>
      </c>
    </row>
    <row r="241" spans="1:13">
      <c r="E241" s="21">
        <f t="shared" si="194"/>
        <v>241</v>
      </c>
      <c r="F241" s="9" t="s">
        <v>143</v>
      </c>
      <c r="M241" s="21">
        <v>180012</v>
      </c>
    </row>
    <row r="242" spans="1:13">
      <c r="E242" s="21">
        <f t="shared" si="194"/>
        <v>242</v>
      </c>
      <c r="F242" s="9" t="s">
        <v>127</v>
      </c>
      <c r="G242" s="21">
        <v>6</v>
      </c>
      <c r="M242" s="21">
        <f t="shared" ref="M242" si="216">M240</f>
        <v>324</v>
      </c>
    </row>
    <row r="243" spans="1:13">
      <c r="B243" s="21">
        <f t="shared" ref="B243" si="217">QUOTIENT( D243-1,$G$20)+1</f>
        <v>1</v>
      </c>
      <c r="C243" s="21">
        <f t="shared" ref="C243" si="218">D243-(B243-1)*$G$20</f>
        <v>55</v>
      </c>
      <c r="D243" s="21">
        <f>COUNT($D$26:$D242)+1</f>
        <v>55</v>
      </c>
      <c r="E243" s="21">
        <f t="shared" si="194"/>
        <v>243</v>
      </c>
      <c r="F243" s="9" t="s">
        <v>143</v>
      </c>
      <c r="M243" s="21">
        <v>180011</v>
      </c>
    </row>
    <row r="244" spans="1:13">
      <c r="A244" s="21" t="s">
        <v>228</v>
      </c>
      <c r="E244" s="21">
        <f t="shared" si="194"/>
        <v>244</v>
      </c>
      <c r="F244" s="9" t="s">
        <v>127</v>
      </c>
      <c r="G244" s="21">
        <v>6</v>
      </c>
      <c r="M244" s="21">
        <f t="shared" ref="M244" si="219">C243*G244</f>
        <v>330</v>
      </c>
    </row>
    <row r="245" spans="1:13">
      <c r="E245" s="21">
        <f t="shared" si="194"/>
        <v>245</v>
      </c>
      <c r="F245" s="9" t="s">
        <v>143</v>
      </c>
      <c r="M245" s="21">
        <v>180012</v>
      </c>
    </row>
    <row r="246" spans="1:13">
      <c r="E246" s="21">
        <f t="shared" si="194"/>
        <v>246</v>
      </c>
      <c r="F246" s="9" t="s">
        <v>127</v>
      </c>
      <c r="G246" s="21">
        <v>6</v>
      </c>
      <c r="M246" s="21">
        <f t="shared" ref="M246" si="220">M244</f>
        <v>330</v>
      </c>
    </row>
    <row r="247" spans="1:13">
      <c r="B247" s="21">
        <f t="shared" ref="B247" si="221">QUOTIENT( D247-1,$G$20)+1</f>
        <v>1</v>
      </c>
      <c r="C247" s="21">
        <f t="shared" ref="C247" si="222">D247-(B247-1)*$G$20</f>
        <v>56</v>
      </c>
      <c r="D247" s="21">
        <f>COUNT($D$26:$D246)+1</f>
        <v>56</v>
      </c>
      <c r="E247" s="21">
        <f t="shared" si="194"/>
        <v>247</v>
      </c>
      <c r="F247" s="9" t="s">
        <v>143</v>
      </c>
      <c r="M247" s="21">
        <v>180011</v>
      </c>
    </row>
    <row r="248" spans="1:13">
      <c r="A248" s="21" t="s">
        <v>228</v>
      </c>
      <c r="E248" s="21">
        <f t="shared" si="194"/>
        <v>248</v>
      </c>
      <c r="F248" s="9" t="s">
        <v>127</v>
      </c>
      <c r="G248" s="21">
        <v>6</v>
      </c>
      <c r="M248" s="21">
        <f t="shared" ref="M248" si="223">C247*G248</f>
        <v>336</v>
      </c>
    </row>
    <row r="249" spans="1:13">
      <c r="E249" s="21">
        <f t="shared" si="194"/>
        <v>249</v>
      </c>
      <c r="F249" s="9" t="s">
        <v>143</v>
      </c>
      <c r="M249" s="21">
        <v>180012</v>
      </c>
    </row>
    <row r="250" spans="1:13">
      <c r="E250" s="21">
        <f t="shared" si="194"/>
        <v>250</v>
      </c>
      <c r="F250" s="9" t="s">
        <v>127</v>
      </c>
      <c r="G250" s="21">
        <v>6</v>
      </c>
      <c r="M250" s="21">
        <f t="shared" ref="M250" si="224">M248</f>
        <v>336</v>
      </c>
    </row>
    <row r="251" spans="1:13">
      <c r="B251" s="21">
        <f t="shared" ref="B251" si="225">QUOTIENT( D251-1,$G$20)+1</f>
        <v>1</v>
      </c>
      <c r="C251" s="21">
        <f t="shared" ref="C251" si="226">D251-(B251-1)*$G$20</f>
        <v>57</v>
      </c>
      <c r="D251" s="21">
        <f>COUNT($D$26:$D250)+1</f>
        <v>57</v>
      </c>
      <c r="E251" s="21">
        <f t="shared" si="194"/>
        <v>251</v>
      </c>
      <c r="F251" s="9" t="s">
        <v>143</v>
      </c>
      <c r="M251" s="21">
        <v>180011</v>
      </c>
    </row>
    <row r="252" spans="1:13">
      <c r="A252" s="21" t="s">
        <v>228</v>
      </c>
      <c r="E252" s="21">
        <f t="shared" si="194"/>
        <v>252</v>
      </c>
      <c r="F252" s="9" t="s">
        <v>127</v>
      </c>
      <c r="G252" s="21">
        <v>6</v>
      </c>
      <c r="M252" s="21">
        <f t="shared" ref="M252" si="227">C251*G252</f>
        <v>342</v>
      </c>
    </row>
    <row r="253" spans="1:13">
      <c r="E253" s="21">
        <f t="shared" si="194"/>
        <v>253</v>
      </c>
      <c r="F253" s="9" t="s">
        <v>143</v>
      </c>
      <c r="M253" s="21">
        <v>180012</v>
      </c>
    </row>
    <row r="254" spans="1:13">
      <c r="E254" s="21">
        <f t="shared" si="194"/>
        <v>254</v>
      </c>
      <c r="F254" s="9" t="s">
        <v>127</v>
      </c>
      <c r="G254" s="21">
        <v>6</v>
      </c>
      <c r="M254" s="21">
        <f t="shared" ref="M254" si="228">M252</f>
        <v>342</v>
      </c>
    </row>
    <row r="255" spans="1:13">
      <c r="B255" s="21">
        <f t="shared" ref="B255" si="229">QUOTIENT( D255-1,$G$20)+1</f>
        <v>1</v>
      </c>
      <c r="C255" s="21">
        <f t="shared" ref="C255" si="230">D255-(B255-1)*$G$20</f>
        <v>58</v>
      </c>
      <c r="D255" s="21">
        <f>COUNT($D$26:$D254)+1</f>
        <v>58</v>
      </c>
      <c r="E255" s="21">
        <f t="shared" si="194"/>
        <v>255</v>
      </c>
      <c r="F255" s="9" t="s">
        <v>143</v>
      </c>
      <c r="M255" s="21">
        <v>180011</v>
      </c>
    </row>
    <row r="256" spans="1:13">
      <c r="A256" s="21" t="s">
        <v>228</v>
      </c>
      <c r="E256" s="21">
        <f t="shared" si="194"/>
        <v>256</v>
      </c>
      <c r="F256" s="9" t="s">
        <v>127</v>
      </c>
      <c r="G256" s="21">
        <v>6</v>
      </c>
      <c r="M256" s="21">
        <f t="shared" ref="M256" si="231">C255*G256</f>
        <v>348</v>
      </c>
    </row>
    <row r="257" spans="1:13">
      <c r="E257" s="21">
        <f t="shared" si="194"/>
        <v>257</v>
      </c>
      <c r="F257" s="9" t="s">
        <v>143</v>
      </c>
      <c r="M257" s="21">
        <v>180012</v>
      </c>
    </row>
    <row r="258" spans="1:13">
      <c r="E258" s="21">
        <f t="shared" si="194"/>
        <v>258</v>
      </c>
      <c r="F258" s="9" t="s">
        <v>127</v>
      </c>
      <c r="G258" s="21">
        <v>6</v>
      </c>
      <c r="M258" s="21">
        <f t="shared" ref="M258" si="232">M256</f>
        <v>348</v>
      </c>
    </row>
    <row r="259" spans="1:13">
      <c r="B259" s="21">
        <f t="shared" ref="B259" si="233">QUOTIENT( D259-1,$G$20)+1</f>
        <v>1</v>
      </c>
      <c r="C259" s="21">
        <f t="shared" ref="C259" si="234">D259-(B259-1)*$G$20</f>
        <v>59</v>
      </c>
      <c r="D259" s="21">
        <f>COUNT($D$26:$D258)+1</f>
        <v>59</v>
      </c>
      <c r="E259" s="21">
        <f t="shared" si="194"/>
        <v>259</v>
      </c>
      <c r="F259" s="9" t="s">
        <v>143</v>
      </c>
      <c r="M259" s="21">
        <v>180011</v>
      </c>
    </row>
    <row r="260" spans="1:13">
      <c r="A260" s="21" t="s">
        <v>228</v>
      </c>
      <c r="E260" s="21">
        <f t="shared" si="194"/>
        <v>260</v>
      </c>
      <c r="F260" s="9" t="s">
        <v>127</v>
      </c>
      <c r="G260" s="21">
        <v>6</v>
      </c>
      <c r="M260" s="21">
        <f t="shared" ref="M260" si="235">C259*G260</f>
        <v>354</v>
      </c>
    </row>
    <row r="261" spans="1:13">
      <c r="E261" s="21">
        <f t="shared" si="194"/>
        <v>261</v>
      </c>
      <c r="F261" s="9" t="s">
        <v>143</v>
      </c>
      <c r="M261" s="21">
        <v>180012</v>
      </c>
    </row>
    <row r="262" spans="1:13">
      <c r="E262" s="21">
        <f t="shared" si="194"/>
        <v>262</v>
      </c>
      <c r="F262" s="9" t="s">
        <v>127</v>
      </c>
      <c r="G262" s="21">
        <v>6</v>
      </c>
      <c r="M262" s="21">
        <f t="shared" ref="M262" si="236">M260</f>
        <v>354</v>
      </c>
    </row>
    <row r="263" spans="1:13">
      <c r="B263" s="21">
        <f t="shared" ref="B263" si="237">QUOTIENT( D263-1,$G$20)+1</f>
        <v>1</v>
      </c>
      <c r="C263" s="21">
        <f t="shared" ref="C263" si="238">D263-(B263-1)*$G$20</f>
        <v>60</v>
      </c>
      <c r="D263" s="21">
        <f>COUNT($D$26:$D262)+1</f>
        <v>60</v>
      </c>
      <c r="E263" s="21">
        <f t="shared" si="194"/>
        <v>263</v>
      </c>
      <c r="F263" s="9" t="s">
        <v>143</v>
      </c>
      <c r="M263" s="21">
        <v>180011</v>
      </c>
    </row>
    <row r="264" spans="1:13">
      <c r="A264" s="21" t="s">
        <v>228</v>
      </c>
      <c r="E264" s="21">
        <f t="shared" si="194"/>
        <v>264</v>
      </c>
      <c r="F264" s="9" t="s">
        <v>127</v>
      </c>
      <c r="G264" s="21">
        <v>6</v>
      </c>
      <c r="M264" s="21">
        <f t="shared" ref="M264" si="239">C263*G264</f>
        <v>360</v>
      </c>
    </row>
    <row r="265" spans="1:13">
      <c r="E265" s="21">
        <f t="shared" si="194"/>
        <v>265</v>
      </c>
      <c r="F265" s="9" t="s">
        <v>143</v>
      </c>
      <c r="M265" s="21">
        <v>180012</v>
      </c>
    </row>
    <row r="266" spans="1:13">
      <c r="E266" s="21">
        <f t="shared" si="194"/>
        <v>266</v>
      </c>
      <c r="F266" s="9" t="s">
        <v>127</v>
      </c>
      <c r="G266" s="21">
        <v>6</v>
      </c>
      <c r="M266" s="21">
        <f t="shared" ref="M266" si="240">M264</f>
        <v>360</v>
      </c>
    </row>
    <row r="267" spans="1:13">
      <c r="B267" s="21">
        <f t="shared" ref="B267" si="241">QUOTIENT( D267-1,$G$20)+1</f>
        <v>1</v>
      </c>
      <c r="C267" s="21">
        <f t="shared" ref="C267" si="242">D267-(B267-1)*$G$20</f>
        <v>61</v>
      </c>
      <c r="D267" s="21">
        <f>COUNT($D$26:$D266)+1</f>
        <v>61</v>
      </c>
      <c r="E267" s="21">
        <f t="shared" si="194"/>
        <v>267</v>
      </c>
      <c r="F267" s="9" t="s">
        <v>143</v>
      </c>
      <c r="M267" s="21">
        <v>180011</v>
      </c>
    </row>
    <row r="268" spans="1:13">
      <c r="A268" s="21" t="s">
        <v>228</v>
      </c>
      <c r="E268" s="21">
        <f t="shared" si="194"/>
        <v>268</v>
      </c>
      <c r="F268" s="9" t="s">
        <v>127</v>
      </c>
      <c r="G268" s="21">
        <v>6</v>
      </c>
      <c r="M268" s="21">
        <f t="shared" ref="M268" si="243">C267*G268</f>
        <v>366</v>
      </c>
    </row>
    <row r="269" spans="1:13">
      <c r="E269" s="21">
        <f t="shared" si="194"/>
        <v>269</v>
      </c>
      <c r="F269" s="9" t="s">
        <v>143</v>
      </c>
      <c r="M269" s="21">
        <v>180012</v>
      </c>
    </row>
    <row r="270" spans="1:13">
      <c r="E270" s="21">
        <f t="shared" si="194"/>
        <v>270</v>
      </c>
      <c r="F270" s="9" t="s">
        <v>127</v>
      </c>
      <c r="G270" s="21">
        <v>6</v>
      </c>
      <c r="M270" s="21">
        <f t="shared" ref="M270" si="244">M268</f>
        <v>366</v>
      </c>
    </row>
    <row r="271" spans="1:13">
      <c r="B271" s="21">
        <f t="shared" ref="B271" si="245">QUOTIENT( D271-1,$G$20)+1</f>
        <v>1</v>
      </c>
      <c r="C271" s="21">
        <f t="shared" ref="C271" si="246">D271-(B271-1)*$G$20</f>
        <v>62</v>
      </c>
      <c r="D271" s="21">
        <f>COUNT($D$26:$D270)+1</f>
        <v>62</v>
      </c>
      <c r="E271" s="21">
        <f t="shared" si="194"/>
        <v>271</v>
      </c>
      <c r="F271" s="9" t="s">
        <v>143</v>
      </c>
      <c r="M271" s="21">
        <v>180011</v>
      </c>
    </row>
    <row r="272" spans="1:13">
      <c r="A272" s="21" t="s">
        <v>228</v>
      </c>
      <c r="E272" s="21">
        <f t="shared" si="194"/>
        <v>272</v>
      </c>
      <c r="F272" s="9" t="s">
        <v>127</v>
      </c>
      <c r="G272" s="21">
        <v>6</v>
      </c>
      <c r="M272" s="21">
        <f t="shared" ref="M272" si="247">C271*G272</f>
        <v>372</v>
      </c>
    </row>
    <row r="273" spans="1:13">
      <c r="E273" s="21">
        <f t="shared" si="194"/>
        <v>273</v>
      </c>
      <c r="F273" s="9" t="s">
        <v>143</v>
      </c>
      <c r="M273" s="21">
        <v>180012</v>
      </c>
    </row>
    <row r="274" spans="1:13">
      <c r="E274" s="21">
        <f t="shared" si="194"/>
        <v>274</v>
      </c>
      <c r="F274" s="9" t="s">
        <v>127</v>
      </c>
      <c r="G274" s="21">
        <v>6</v>
      </c>
      <c r="M274" s="21">
        <f t="shared" ref="M274" si="248">M272</f>
        <v>372</v>
      </c>
    </row>
    <row r="275" spans="1:13">
      <c r="B275" s="21">
        <f t="shared" ref="B275" si="249">QUOTIENT( D275-1,$G$20)+1</f>
        <v>1</v>
      </c>
      <c r="C275" s="21">
        <f t="shared" ref="C275" si="250">D275-(B275-1)*$G$20</f>
        <v>63</v>
      </c>
      <c r="D275" s="21">
        <f>COUNT($D$26:$D274)+1</f>
        <v>63</v>
      </c>
      <c r="E275" s="21">
        <f t="shared" si="194"/>
        <v>275</v>
      </c>
      <c r="F275" s="9" t="s">
        <v>143</v>
      </c>
      <c r="M275" s="21">
        <v>180011</v>
      </c>
    </row>
    <row r="276" spans="1:13">
      <c r="A276" s="21" t="s">
        <v>228</v>
      </c>
      <c r="E276" s="21">
        <f t="shared" si="194"/>
        <v>276</v>
      </c>
      <c r="F276" s="9" t="s">
        <v>127</v>
      </c>
      <c r="G276" s="21">
        <v>6</v>
      </c>
      <c r="M276" s="21">
        <f t="shared" ref="M276" si="251">C275*G276</f>
        <v>378</v>
      </c>
    </row>
    <row r="277" spans="1:13">
      <c r="E277" s="21">
        <f t="shared" si="194"/>
        <v>277</v>
      </c>
      <c r="F277" s="9" t="s">
        <v>143</v>
      </c>
      <c r="M277" s="21">
        <v>180012</v>
      </c>
    </row>
    <row r="278" spans="1:13">
      <c r="E278" s="21">
        <f t="shared" si="194"/>
        <v>278</v>
      </c>
      <c r="F278" s="9" t="s">
        <v>127</v>
      </c>
      <c r="G278" s="21">
        <v>6</v>
      </c>
      <c r="M278" s="21">
        <f t="shared" ref="M278" si="252">M276</f>
        <v>378</v>
      </c>
    </row>
    <row r="279" spans="1:13">
      <c r="B279" s="21">
        <f t="shared" ref="B279" si="253">QUOTIENT( D279-1,$G$20)+1</f>
        <v>1</v>
      </c>
      <c r="C279" s="21">
        <f t="shared" ref="C279" si="254">D279-(B279-1)*$G$20</f>
        <v>64</v>
      </c>
      <c r="D279" s="21">
        <f>COUNT($D$26:$D278)+1</f>
        <v>64</v>
      </c>
      <c r="E279" s="21">
        <f t="shared" si="194"/>
        <v>279</v>
      </c>
      <c r="F279" s="9" t="s">
        <v>143</v>
      </c>
      <c r="M279" s="21">
        <v>180011</v>
      </c>
    </row>
    <row r="280" spans="1:13">
      <c r="A280" s="21" t="s">
        <v>228</v>
      </c>
      <c r="E280" s="21">
        <f t="shared" si="194"/>
        <v>280</v>
      </c>
      <c r="F280" s="9" t="s">
        <v>127</v>
      </c>
      <c r="G280" s="21">
        <v>6</v>
      </c>
      <c r="M280" s="21">
        <f t="shared" ref="M280" si="255">C279*G280</f>
        <v>384</v>
      </c>
    </row>
    <row r="281" spans="1:13">
      <c r="E281" s="21">
        <f t="shared" si="194"/>
        <v>281</v>
      </c>
      <c r="F281" s="9" t="s">
        <v>143</v>
      </c>
      <c r="M281" s="21">
        <v>180012</v>
      </c>
    </row>
    <row r="282" spans="1:13">
      <c r="E282" s="21">
        <f t="shared" si="194"/>
        <v>282</v>
      </c>
      <c r="F282" s="9" t="s">
        <v>127</v>
      </c>
      <c r="G282" s="21">
        <v>6</v>
      </c>
      <c r="M282" s="21">
        <f t="shared" ref="M282" si="256">M280</f>
        <v>384</v>
      </c>
    </row>
    <row r="283" spans="1:13">
      <c r="B283" s="21">
        <f t="shared" ref="B283" si="257">QUOTIENT( D283-1,$G$20)+1</f>
        <v>1</v>
      </c>
      <c r="C283" s="21">
        <f t="shared" ref="C283" si="258">D283-(B283-1)*$G$20</f>
        <v>65</v>
      </c>
      <c r="D283" s="21">
        <f>COUNT($D$26:$D282)+1</f>
        <v>65</v>
      </c>
      <c r="E283" s="21">
        <f t="shared" ref="E283:E346" si="259">ROW(E283)</f>
        <v>283</v>
      </c>
      <c r="F283" s="9" t="s">
        <v>143</v>
      </c>
      <c r="M283" s="21">
        <v>180011</v>
      </c>
    </row>
    <row r="284" spans="1:13">
      <c r="A284" s="21" t="s">
        <v>228</v>
      </c>
      <c r="E284" s="21">
        <f t="shared" si="259"/>
        <v>284</v>
      </c>
      <c r="F284" s="9" t="s">
        <v>127</v>
      </c>
      <c r="G284" s="21">
        <v>6</v>
      </c>
      <c r="M284" s="21">
        <f t="shared" ref="M284" si="260">C283*G284</f>
        <v>390</v>
      </c>
    </row>
    <row r="285" spans="1:13">
      <c r="E285" s="21">
        <f t="shared" si="259"/>
        <v>285</v>
      </c>
      <c r="F285" s="9" t="s">
        <v>143</v>
      </c>
      <c r="M285" s="21">
        <v>180012</v>
      </c>
    </row>
    <row r="286" spans="1:13">
      <c r="E286" s="21">
        <f t="shared" si="259"/>
        <v>286</v>
      </c>
      <c r="F286" s="9" t="s">
        <v>127</v>
      </c>
      <c r="G286" s="21">
        <v>6</v>
      </c>
      <c r="M286" s="21">
        <f t="shared" ref="M286" si="261">M284</f>
        <v>390</v>
      </c>
    </row>
    <row r="287" spans="1:13">
      <c r="B287" s="21">
        <f t="shared" ref="B287" si="262">QUOTIENT( D287-1,$G$20)+1</f>
        <v>1</v>
      </c>
      <c r="C287" s="21">
        <f t="shared" ref="C287" si="263">D287-(B287-1)*$G$20</f>
        <v>66</v>
      </c>
      <c r="D287" s="21">
        <f>COUNT($D$26:$D286)+1</f>
        <v>66</v>
      </c>
      <c r="E287" s="21">
        <f t="shared" si="259"/>
        <v>287</v>
      </c>
      <c r="F287" s="9" t="s">
        <v>143</v>
      </c>
      <c r="M287" s="21">
        <v>180011</v>
      </c>
    </row>
    <row r="288" spans="1:13">
      <c r="A288" s="21" t="s">
        <v>228</v>
      </c>
      <c r="E288" s="21">
        <f t="shared" si="259"/>
        <v>288</v>
      </c>
      <c r="F288" s="9" t="s">
        <v>127</v>
      </c>
      <c r="G288" s="21">
        <v>6</v>
      </c>
      <c r="M288" s="21">
        <f t="shared" ref="M288" si="264">C287*G288</f>
        <v>396</v>
      </c>
    </row>
    <row r="289" spans="1:13">
      <c r="E289" s="21">
        <f t="shared" si="259"/>
        <v>289</v>
      </c>
      <c r="F289" s="9" t="s">
        <v>143</v>
      </c>
      <c r="M289" s="21">
        <v>180012</v>
      </c>
    </row>
    <row r="290" spans="1:13">
      <c r="E290" s="21">
        <f t="shared" si="259"/>
        <v>290</v>
      </c>
      <c r="F290" s="9" t="s">
        <v>127</v>
      </c>
      <c r="G290" s="21">
        <v>6</v>
      </c>
      <c r="M290" s="21">
        <f t="shared" ref="M290" si="265">M288</f>
        <v>396</v>
      </c>
    </row>
    <row r="291" spans="1:13">
      <c r="B291" s="21">
        <f t="shared" ref="B291" si="266">QUOTIENT( D291-1,$G$20)+1</f>
        <v>1</v>
      </c>
      <c r="C291" s="21">
        <f t="shared" ref="C291" si="267">D291-(B291-1)*$G$20</f>
        <v>67</v>
      </c>
      <c r="D291" s="21">
        <f>COUNT($D$26:$D290)+1</f>
        <v>67</v>
      </c>
      <c r="E291" s="21">
        <f t="shared" si="259"/>
        <v>291</v>
      </c>
      <c r="F291" s="9" t="s">
        <v>143</v>
      </c>
      <c r="M291" s="21">
        <v>180011</v>
      </c>
    </row>
    <row r="292" spans="1:13">
      <c r="A292" s="21" t="s">
        <v>228</v>
      </c>
      <c r="E292" s="21">
        <f t="shared" si="259"/>
        <v>292</v>
      </c>
      <c r="F292" s="9" t="s">
        <v>127</v>
      </c>
      <c r="G292" s="21">
        <v>6</v>
      </c>
      <c r="M292" s="21">
        <f t="shared" ref="M292" si="268">C291*G292</f>
        <v>402</v>
      </c>
    </row>
    <row r="293" spans="1:13">
      <c r="E293" s="21">
        <f t="shared" si="259"/>
        <v>293</v>
      </c>
      <c r="F293" s="9" t="s">
        <v>143</v>
      </c>
      <c r="M293" s="21">
        <v>180012</v>
      </c>
    </row>
    <row r="294" spans="1:13">
      <c r="E294" s="21">
        <f t="shared" si="259"/>
        <v>294</v>
      </c>
      <c r="F294" s="9" t="s">
        <v>127</v>
      </c>
      <c r="G294" s="21">
        <v>6</v>
      </c>
      <c r="M294" s="21">
        <f t="shared" ref="M294" si="269">M292</f>
        <v>402</v>
      </c>
    </row>
    <row r="295" spans="1:13">
      <c r="B295" s="21">
        <f t="shared" ref="B295" si="270">QUOTIENT( D295-1,$G$20)+1</f>
        <v>1</v>
      </c>
      <c r="C295" s="21">
        <f t="shared" ref="C295" si="271">D295-(B295-1)*$G$20</f>
        <v>68</v>
      </c>
      <c r="D295" s="21">
        <f>COUNT($D$26:$D294)+1</f>
        <v>68</v>
      </c>
      <c r="E295" s="21">
        <f t="shared" si="259"/>
        <v>295</v>
      </c>
      <c r="F295" s="9" t="s">
        <v>143</v>
      </c>
      <c r="M295" s="21">
        <v>180011</v>
      </c>
    </row>
    <row r="296" spans="1:13">
      <c r="A296" s="21" t="s">
        <v>228</v>
      </c>
      <c r="E296" s="21">
        <f t="shared" si="259"/>
        <v>296</v>
      </c>
      <c r="F296" s="9" t="s">
        <v>127</v>
      </c>
      <c r="G296" s="21">
        <v>6</v>
      </c>
      <c r="M296" s="21">
        <f t="shared" ref="M296" si="272">C295*G296</f>
        <v>408</v>
      </c>
    </row>
    <row r="297" spans="1:13">
      <c r="E297" s="21">
        <f t="shared" si="259"/>
        <v>297</v>
      </c>
      <c r="F297" s="9" t="s">
        <v>143</v>
      </c>
      <c r="M297" s="21">
        <v>180012</v>
      </c>
    </row>
    <row r="298" spans="1:13">
      <c r="E298" s="21">
        <f t="shared" si="259"/>
        <v>298</v>
      </c>
      <c r="F298" s="9" t="s">
        <v>127</v>
      </c>
      <c r="G298" s="21">
        <v>6</v>
      </c>
      <c r="M298" s="21">
        <f t="shared" ref="M298" si="273">M296</f>
        <v>408</v>
      </c>
    </row>
    <row r="299" spans="1:13">
      <c r="B299" s="21">
        <f t="shared" ref="B299" si="274">QUOTIENT( D299-1,$G$20)+1</f>
        <v>1</v>
      </c>
      <c r="C299" s="21">
        <f t="shared" ref="C299" si="275">D299-(B299-1)*$G$20</f>
        <v>69</v>
      </c>
      <c r="D299" s="21">
        <f>COUNT($D$26:$D298)+1</f>
        <v>69</v>
      </c>
      <c r="E299" s="21">
        <f t="shared" si="259"/>
        <v>299</v>
      </c>
      <c r="F299" s="9" t="s">
        <v>143</v>
      </c>
      <c r="M299" s="21">
        <v>180011</v>
      </c>
    </row>
    <row r="300" spans="1:13">
      <c r="A300" s="21" t="s">
        <v>228</v>
      </c>
      <c r="E300" s="21">
        <f t="shared" si="259"/>
        <v>300</v>
      </c>
      <c r="F300" s="9" t="s">
        <v>127</v>
      </c>
      <c r="G300" s="21">
        <v>6</v>
      </c>
      <c r="M300" s="21">
        <f t="shared" ref="M300" si="276">C299*G300</f>
        <v>414</v>
      </c>
    </row>
    <row r="301" spans="1:13">
      <c r="E301" s="21">
        <f t="shared" si="259"/>
        <v>301</v>
      </c>
      <c r="F301" s="9" t="s">
        <v>143</v>
      </c>
      <c r="M301" s="21">
        <v>180012</v>
      </c>
    </row>
    <row r="302" spans="1:13">
      <c r="E302" s="21">
        <f t="shared" si="259"/>
        <v>302</v>
      </c>
      <c r="F302" s="9" t="s">
        <v>127</v>
      </c>
      <c r="G302" s="21">
        <v>6</v>
      </c>
      <c r="M302" s="21">
        <f t="shared" ref="M302" si="277">M300</f>
        <v>414</v>
      </c>
    </row>
    <row r="303" spans="1:13">
      <c r="B303" s="21">
        <f t="shared" ref="B303" si="278">QUOTIENT( D303-1,$G$20)+1</f>
        <v>1</v>
      </c>
      <c r="C303" s="21">
        <f t="shared" ref="C303" si="279">D303-(B303-1)*$G$20</f>
        <v>70</v>
      </c>
      <c r="D303" s="21">
        <f>COUNT($D$26:$D302)+1</f>
        <v>70</v>
      </c>
      <c r="E303" s="21">
        <f t="shared" si="259"/>
        <v>303</v>
      </c>
      <c r="F303" s="9" t="s">
        <v>143</v>
      </c>
      <c r="M303" s="21">
        <v>180011</v>
      </c>
    </row>
    <row r="304" spans="1:13">
      <c r="A304" s="21" t="s">
        <v>228</v>
      </c>
      <c r="E304" s="21">
        <f t="shared" si="259"/>
        <v>304</v>
      </c>
      <c r="F304" s="9" t="s">
        <v>127</v>
      </c>
      <c r="G304" s="21">
        <v>6</v>
      </c>
      <c r="M304" s="21">
        <f t="shared" ref="M304" si="280">C303*G304</f>
        <v>420</v>
      </c>
    </row>
    <row r="305" spans="1:13">
      <c r="E305" s="21">
        <f t="shared" si="259"/>
        <v>305</v>
      </c>
      <c r="F305" s="9" t="s">
        <v>143</v>
      </c>
      <c r="M305" s="21">
        <v>180012</v>
      </c>
    </row>
    <row r="306" spans="1:13">
      <c r="E306" s="21">
        <f t="shared" si="259"/>
        <v>306</v>
      </c>
      <c r="F306" s="9" t="s">
        <v>127</v>
      </c>
      <c r="G306" s="21">
        <v>6</v>
      </c>
      <c r="M306" s="21">
        <f t="shared" ref="M306" si="281">M304</f>
        <v>420</v>
      </c>
    </row>
    <row r="307" spans="1:13">
      <c r="B307" s="21">
        <f t="shared" ref="B307" si="282">QUOTIENT( D307-1,$G$20)+1</f>
        <v>1</v>
      </c>
      <c r="C307" s="21">
        <f t="shared" ref="C307" si="283">D307-(B307-1)*$G$20</f>
        <v>71</v>
      </c>
      <c r="D307" s="21">
        <f>COUNT($D$26:$D306)+1</f>
        <v>71</v>
      </c>
      <c r="E307" s="21">
        <f t="shared" si="259"/>
        <v>307</v>
      </c>
      <c r="F307" s="9" t="s">
        <v>143</v>
      </c>
      <c r="M307" s="21">
        <v>180011</v>
      </c>
    </row>
    <row r="308" spans="1:13">
      <c r="A308" s="21" t="s">
        <v>228</v>
      </c>
      <c r="E308" s="21">
        <f t="shared" si="259"/>
        <v>308</v>
      </c>
      <c r="F308" s="9" t="s">
        <v>127</v>
      </c>
      <c r="G308" s="21">
        <v>6</v>
      </c>
      <c r="M308" s="21">
        <f t="shared" ref="M308" si="284">C307*G308</f>
        <v>426</v>
      </c>
    </row>
    <row r="309" spans="1:13">
      <c r="E309" s="21">
        <f t="shared" si="259"/>
        <v>309</v>
      </c>
      <c r="F309" s="9" t="s">
        <v>143</v>
      </c>
      <c r="M309" s="21">
        <v>180012</v>
      </c>
    </row>
    <row r="310" spans="1:13">
      <c r="E310" s="21">
        <f t="shared" si="259"/>
        <v>310</v>
      </c>
      <c r="F310" s="9" t="s">
        <v>127</v>
      </c>
      <c r="G310" s="21">
        <v>6</v>
      </c>
      <c r="M310" s="21">
        <f t="shared" ref="M310" si="285">M308</f>
        <v>426</v>
      </c>
    </row>
    <row r="311" spans="1:13">
      <c r="B311" s="21">
        <f t="shared" ref="B311" si="286">QUOTIENT( D311-1,$G$20)+1</f>
        <v>1</v>
      </c>
      <c r="C311" s="21">
        <f t="shared" ref="C311" si="287">D311-(B311-1)*$G$20</f>
        <v>72</v>
      </c>
      <c r="D311" s="21">
        <f>COUNT($D$26:$D310)+1</f>
        <v>72</v>
      </c>
      <c r="E311" s="21">
        <f t="shared" si="259"/>
        <v>311</v>
      </c>
      <c r="F311" s="9" t="s">
        <v>143</v>
      </c>
      <c r="M311" s="21">
        <v>180011</v>
      </c>
    </row>
    <row r="312" spans="1:13">
      <c r="A312" s="21" t="s">
        <v>228</v>
      </c>
      <c r="E312" s="21">
        <f t="shared" si="259"/>
        <v>312</v>
      </c>
      <c r="F312" s="9" t="s">
        <v>127</v>
      </c>
      <c r="G312" s="21">
        <v>6</v>
      </c>
      <c r="M312" s="21">
        <f t="shared" ref="M312" si="288">C311*G312</f>
        <v>432</v>
      </c>
    </row>
    <row r="313" spans="1:13">
      <c r="E313" s="21">
        <f t="shared" si="259"/>
        <v>313</v>
      </c>
      <c r="F313" s="9" t="s">
        <v>143</v>
      </c>
      <c r="M313" s="21">
        <v>180012</v>
      </c>
    </row>
    <row r="314" spans="1:13">
      <c r="E314" s="21">
        <f t="shared" si="259"/>
        <v>314</v>
      </c>
      <c r="F314" s="9" t="s">
        <v>127</v>
      </c>
      <c r="G314" s="21">
        <v>6</v>
      </c>
      <c r="M314" s="21">
        <f t="shared" ref="M314" si="289">M312</f>
        <v>432</v>
      </c>
    </row>
    <row r="315" spans="1:13">
      <c r="B315" s="21">
        <f t="shared" ref="B315" si="290">QUOTIENT( D315-1,$G$20)+1</f>
        <v>1</v>
      </c>
      <c r="C315" s="21">
        <f t="shared" ref="C315" si="291">D315-(B315-1)*$G$20</f>
        <v>73</v>
      </c>
      <c r="D315" s="21">
        <f>COUNT($D$26:$D314)+1</f>
        <v>73</v>
      </c>
      <c r="E315" s="21">
        <f t="shared" si="259"/>
        <v>315</v>
      </c>
      <c r="F315" s="9" t="s">
        <v>143</v>
      </c>
      <c r="M315" s="21">
        <v>180011</v>
      </c>
    </row>
    <row r="316" spans="1:13">
      <c r="A316" s="21" t="s">
        <v>228</v>
      </c>
      <c r="E316" s="21">
        <f t="shared" si="259"/>
        <v>316</v>
      </c>
      <c r="F316" s="9" t="s">
        <v>127</v>
      </c>
      <c r="G316" s="21">
        <v>6</v>
      </c>
      <c r="M316" s="21">
        <f t="shared" ref="M316" si="292">C315*G316</f>
        <v>438</v>
      </c>
    </row>
    <row r="317" spans="1:13">
      <c r="E317" s="21">
        <f t="shared" si="259"/>
        <v>317</v>
      </c>
      <c r="F317" s="9" t="s">
        <v>143</v>
      </c>
      <c r="M317" s="21">
        <v>180012</v>
      </c>
    </row>
    <row r="318" spans="1:13">
      <c r="E318" s="21">
        <f t="shared" si="259"/>
        <v>318</v>
      </c>
      <c r="F318" s="9" t="s">
        <v>127</v>
      </c>
      <c r="G318" s="21">
        <v>6</v>
      </c>
      <c r="M318" s="21">
        <f t="shared" ref="M318" si="293">M316</f>
        <v>438</v>
      </c>
    </row>
    <row r="319" spans="1:13">
      <c r="B319" s="21">
        <f t="shared" ref="B319" si="294">QUOTIENT( D319-1,$G$20)+1</f>
        <v>1</v>
      </c>
      <c r="C319" s="21">
        <f t="shared" ref="C319" si="295">D319-(B319-1)*$G$20</f>
        <v>74</v>
      </c>
      <c r="D319" s="21">
        <f>COUNT($D$26:$D318)+1</f>
        <v>74</v>
      </c>
      <c r="E319" s="21">
        <f t="shared" si="259"/>
        <v>319</v>
      </c>
      <c r="F319" s="9" t="s">
        <v>143</v>
      </c>
      <c r="M319" s="21">
        <v>180011</v>
      </c>
    </row>
    <row r="320" spans="1:13">
      <c r="A320" s="21" t="s">
        <v>228</v>
      </c>
      <c r="E320" s="21">
        <f t="shared" si="259"/>
        <v>320</v>
      </c>
      <c r="F320" s="9" t="s">
        <v>127</v>
      </c>
      <c r="G320" s="21">
        <v>6</v>
      </c>
      <c r="M320" s="21">
        <f t="shared" ref="M320" si="296">C319*G320</f>
        <v>444</v>
      </c>
    </row>
    <row r="321" spans="1:13">
      <c r="E321" s="21">
        <f t="shared" si="259"/>
        <v>321</v>
      </c>
      <c r="F321" s="9" t="s">
        <v>143</v>
      </c>
      <c r="M321" s="21">
        <v>180012</v>
      </c>
    </row>
    <row r="322" spans="1:13">
      <c r="E322" s="21">
        <f t="shared" si="259"/>
        <v>322</v>
      </c>
      <c r="F322" s="9" t="s">
        <v>127</v>
      </c>
      <c r="G322" s="21">
        <v>6</v>
      </c>
      <c r="M322" s="21">
        <f t="shared" ref="M322" si="297">M320</f>
        <v>444</v>
      </c>
    </row>
    <row r="323" spans="1:13">
      <c r="B323" s="21">
        <f t="shared" ref="B323" si="298">QUOTIENT( D323-1,$G$20)+1</f>
        <v>1</v>
      </c>
      <c r="C323" s="21">
        <f t="shared" ref="C323" si="299">D323-(B323-1)*$G$20</f>
        <v>75</v>
      </c>
      <c r="D323" s="21">
        <f>COUNT($D$26:$D322)+1</f>
        <v>75</v>
      </c>
      <c r="E323" s="21">
        <f t="shared" si="259"/>
        <v>323</v>
      </c>
      <c r="F323" s="9" t="s">
        <v>143</v>
      </c>
      <c r="M323" s="21">
        <v>180011</v>
      </c>
    </row>
    <row r="324" spans="1:13">
      <c r="A324" s="21" t="s">
        <v>228</v>
      </c>
      <c r="E324" s="21">
        <f t="shared" si="259"/>
        <v>324</v>
      </c>
      <c r="F324" s="9" t="s">
        <v>127</v>
      </c>
      <c r="G324" s="21">
        <v>6</v>
      </c>
      <c r="M324" s="21">
        <f t="shared" ref="M324" si="300">C323*G324</f>
        <v>450</v>
      </c>
    </row>
    <row r="325" spans="1:13">
      <c r="E325" s="21">
        <f t="shared" si="259"/>
        <v>325</v>
      </c>
      <c r="F325" s="9" t="s">
        <v>143</v>
      </c>
      <c r="M325" s="21">
        <v>180012</v>
      </c>
    </row>
    <row r="326" spans="1:13">
      <c r="E326" s="21">
        <f t="shared" si="259"/>
        <v>326</v>
      </c>
      <c r="F326" s="9" t="s">
        <v>127</v>
      </c>
      <c r="G326" s="21">
        <v>6</v>
      </c>
      <c r="M326" s="21">
        <f t="shared" ref="M326" si="301">M324</f>
        <v>450</v>
      </c>
    </row>
    <row r="327" spans="1:13">
      <c r="B327" s="21">
        <f t="shared" ref="B327" si="302">QUOTIENT( D327-1,$G$20)+1</f>
        <v>1</v>
      </c>
      <c r="C327" s="21">
        <f t="shared" ref="C327" si="303">D327-(B327-1)*$G$20</f>
        <v>76</v>
      </c>
      <c r="D327" s="21">
        <f>COUNT($D$26:$D326)+1</f>
        <v>76</v>
      </c>
      <c r="E327" s="21">
        <f t="shared" si="259"/>
        <v>327</v>
      </c>
      <c r="F327" s="9" t="s">
        <v>143</v>
      </c>
      <c r="M327" s="21">
        <v>180011</v>
      </c>
    </row>
    <row r="328" spans="1:13">
      <c r="A328" s="21" t="s">
        <v>228</v>
      </c>
      <c r="E328" s="21">
        <f t="shared" si="259"/>
        <v>328</v>
      </c>
      <c r="F328" s="9" t="s">
        <v>127</v>
      </c>
      <c r="G328" s="21">
        <v>6</v>
      </c>
      <c r="M328" s="21">
        <f t="shared" ref="M328" si="304">C327*G328</f>
        <v>456</v>
      </c>
    </row>
    <row r="329" spans="1:13">
      <c r="E329" s="21">
        <f t="shared" si="259"/>
        <v>329</v>
      </c>
      <c r="F329" s="9" t="s">
        <v>143</v>
      </c>
      <c r="M329" s="21">
        <v>180012</v>
      </c>
    </row>
    <row r="330" spans="1:13">
      <c r="E330" s="21">
        <f t="shared" si="259"/>
        <v>330</v>
      </c>
      <c r="F330" s="9" t="s">
        <v>127</v>
      </c>
      <c r="G330" s="21">
        <v>6</v>
      </c>
      <c r="M330" s="21">
        <f t="shared" ref="M330" si="305">M328</f>
        <v>456</v>
      </c>
    </row>
    <row r="331" spans="1:13">
      <c r="B331" s="21">
        <f t="shared" ref="B331" si="306">QUOTIENT( D331-1,$G$20)+1</f>
        <v>1</v>
      </c>
      <c r="C331" s="21">
        <f t="shared" ref="C331" si="307">D331-(B331-1)*$G$20</f>
        <v>77</v>
      </c>
      <c r="D331" s="21">
        <f>COUNT($D$26:$D330)+1</f>
        <v>77</v>
      </c>
      <c r="E331" s="21">
        <f t="shared" si="259"/>
        <v>331</v>
      </c>
      <c r="F331" s="9" t="s">
        <v>143</v>
      </c>
      <c r="M331" s="21">
        <v>180011</v>
      </c>
    </row>
    <row r="332" spans="1:13">
      <c r="A332" s="21" t="s">
        <v>228</v>
      </c>
      <c r="E332" s="21">
        <f t="shared" si="259"/>
        <v>332</v>
      </c>
      <c r="F332" s="9" t="s">
        <v>127</v>
      </c>
      <c r="G332" s="21">
        <v>6</v>
      </c>
      <c r="M332" s="21">
        <f t="shared" ref="M332" si="308">C331*G332</f>
        <v>462</v>
      </c>
    </row>
    <row r="333" spans="1:13">
      <c r="E333" s="21">
        <f t="shared" si="259"/>
        <v>333</v>
      </c>
      <c r="F333" s="9" t="s">
        <v>143</v>
      </c>
      <c r="M333" s="21">
        <v>180012</v>
      </c>
    </row>
    <row r="334" spans="1:13">
      <c r="E334" s="21">
        <f t="shared" si="259"/>
        <v>334</v>
      </c>
      <c r="F334" s="9" t="s">
        <v>127</v>
      </c>
      <c r="G334" s="21">
        <v>6</v>
      </c>
      <c r="M334" s="21">
        <f t="shared" ref="M334" si="309">M332</f>
        <v>462</v>
      </c>
    </row>
    <row r="335" spans="1:13">
      <c r="B335" s="21">
        <f t="shared" ref="B335" si="310">QUOTIENT( D335-1,$G$20)+1</f>
        <v>1</v>
      </c>
      <c r="C335" s="21">
        <f t="shared" ref="C335" si="311">D335-(B335-1)*$G$20</f>
        <v>78</v>
      </c>
      <c r="D335" s="21">
        <f>COUNT($D$26:$D334)+1</f>
        <v>78</v>
      </c>
      <c r="E335" s="21">
        <f t="shared" si="259"/>
        <v>335</v>
      </c>
      <c r="F335" s="9" t="s">
        <v>143</v>
      </c>
      <c r="M335" s="21">
        <v>180011</v>
      </c>
    </row>
    <row r="336" spans="1:13">
      <c r="A336" s="21" t="s">
        <v>228</v>
      </c>
      <c r="E336" s="21">
        <f t="shared" si="259"/>
        <v>336</v>
      </c>
      <c r="F336" s="9" t="s">
        <v>127</v>
      </c>
      <c r="G336" s="21">
        <v>6</v>
      </c>
      <c r="M336" s="21">
        <f t="shared" ref="M336" si="312">C335*G336</f>
        <v>468</v>
      </c>
    </row>
    <row r="337" spans="1:13">
      <c r="E337" s="21">
        <f t="shared" si="259"/>
        <v>337</v>
      </c>
      <c r="F337" s="9" t="s">
        <v>143</v>
      </c>
      <c r="M337" s="21">
        <v>180012</v>
      </c>
    </row>
    <row r="338" spans="1:13">
      <c r="E338" s="21">
        <f t="shared" si="259"/>
        <v>338</v>
      </c>
      <c r="F338" s="9" t="s">
        <v>127</v>
      </c>
      <c r="G338" s="21">
        <v>6</v>
      </c>
      <c r="M338" s="21">
        <f t="shared" ref="M338" si="313">M336</f>
        <v>468</v>
      </c>
    </row>
    <row r="339" spans="1:13">
      <c r="B339" s="21">
        <f t="shared" ref="B339" si="314">QUOTIENT( D339-1,$G$20)+1</f>
        <v>1</v>
      </c>
      <c r="C339" s="21">
        <f t="shared" ref="C339" si="315">D339-(B339-1)*$G$20</f>
        <v>79</v>
      </c>
      <c r="D339" s="21">
        <f>COUNT($D$26:$D338)+1</f>
        <v>79</v>
      </c>
      <c r="E339" s="21">
        <f t="shared" si="259"/>
        <v>339</v>
      </c>
      <c r="F339" s="9" t="s">
        <v>143</v>
      </c>
      <c r="M339" s="21">
        <v>180011</v>
      </c>
    </row>
    <row r="340" spans="1:13">
      <c r="A340" s="21" t="s">
        <v>228</v>
      </c>
      <c r="E340" s="21">
        <f t="shared" si="259"/>
        <v>340</v>
      </c>
      <c r="F340" s="9" t="s">
        <v>127</v>
      </c>
      <c r="G340" s="21">
        <v>6</v>
      </c>
      <c r="M340" s="21">
        <f t="shared" ref="M340" si="316">C339*G340</f>
        <v>474</v>
      </c>
    </row>
    <row r="341" spans="1:13">
      <c r="E341" s="21">
        <f t="shared" si="259"/>
        <v>341</v>
      </c>
      <c r="F341" s="9" t="s">
        <v>143</v>
      </c>
      <c r="M341" s="21">
        <v>180012</v>
      </c>
    </row>
    <row r="342" spans="1:13">
      <c r="E342" s="21">
        <f t="shared" si="259"/>
        <v>342</v>
      </c>
      <c r="F342" s="9" t="s">
        <v>127</v>
      </c>
      <c r="G342" s="21">
        <v>6</v>
      </c>
      <c r="M342" s="21">
        <f t="shared" ref="M342" si="317">M340</f>
        <v>474</v>
      </c>
    </row>
    <row r="343" spans="1:13">
      <c r="B343" s="21">
        <f t="shared" ref="B343" si="318">QUOTIENT( D343-1,$G$20)+1</f>
        <v>1</v>
      </c>
      <c r="C343" s="21">
        <f t="shared" ref="C343" si="319">D343-(B343-1)*$G$20</f>
        <v>80</v>
      </c>
      <c r="D343" s="21">
        <f>COUNT($D$26:$D342)+1</f>
        <v>80</v>
      </c>
      <c r="E343" s="21">
        <f t="shared" si="259"/>
        <v>343</v>
      </c>
      <c r="F343" s="9" t="s">
        <v>143</v>
      </c>
      <c r="M343" s="21">
        <v>180011</v>
      </c>
    </row>
    <row r="344" spans="1:13">
      <c r="A344" s="21" t="s">
        <v>228</v>
      </c>
      <c r="E344" s="21">
        <f t="shared" si="259"/>
        <v>344</v>
      </c>
      <c r="F344" s="9" t="s">
        <v>127</v>
      </c>
      <c r="G344" s="21">
        <v>6</v>
      </c>
      <c r="M344" s="21">
        <f t="shared" ref="M344" si="320">C343*G344</f>
        <v>480</v>
      </c>
    </row>
    <row r="345" spans="1:13">
      <c r="E345" s="21">
        <f t="shared" si="259"/>
        <v>345</v>
      </c>
      <c r="F345" s="9" t="s">
        <v>143</v>
      </c>
      <c r="M345" s="21">
        <v>180012</v>
      </c>
    </row>
    <row r="346" spans="1:13">
      <c r="E346" s="21">
        <f t="shared" si="259"/>
        <v>346</v>
      </c>
      <c r="F346" s="9" t="s">
        <v>127</v>
      </c>
      <c r="G346" s="21">
        <v>6</v>
      </c>
      <c r="M346" s="21">
        <f t="shared" ref="M346" si="321">M344</f>
        <v>480</v>
      </c>
    </row>
    <row r="347" spans="1:13">
      <c r="B347" s="21">
        <f t="shared" ref="B347" si="322">QUOTIENT( D347-1,$G$20)+1</f>
        <v>1</v>
      </c>
      <c r="C347" s="21">
        <f t="shared" ref="C347" si="323">D347-(B347-1)*$G$20</f>
        <v>81</v>
      </c>
      <c r="D347" s="21">
        <f>COUNT($D$26:$D346)+1</f>
        <v>81</v>
      </c>
      <c r="E347" s="21">
        <f t="shared" ref="E347:E410" si="324">ROW(E347)</f>
        <v>347</v>
      </c>
      <c r="F347" s="9" t="s">
        <v>143</v>
      </c>
      <c r="M347" s="21">
        <v>180011</v>
      </c>
    </row>
    <row r="348" spans="1:13">
      <c r="A348" s="21" t="s">
        <v>228</v>
      </c>
      <c r="E348" s="21">
        <f t="shared" si="324"/>
        <v>348</v>
      </c>
      <c r="F348" s="9" t="s">
        <v>127</v>
      </c>
      <c r="G348" s="21">
        <v>6</v>
      </c>
      <c r="M348" s="21">
        <f t="shared" ref="M348" si="325">C347*G348</f>
        <v>486</v>
      </c>
    </row>
    <row r="349" spans="1:13">
      <c r="E349" s="21">
        <f t="shared" si="324"/>
        <v>349</v>
      </c>
      <c r="F349" s="9" t="s">
        <v>143</v>
      </c>
      <c r="M349" s="21">
        <v>180012</v>
      </c>
    </row>
    <row r="350" spans="1:13">
      <c r="E350" s="21">
        <f t="shared" si="324"/>
        <v>350</v>
      </c>
      <c r="F350" s="9" t="s">
        <v>127</v>
      </c>
      <c r="G350" s="21">
        <v>6</v>
      </c>
      <c r="M350" s="21">
        <f t="shared" ref="M350" si="326">M348</f>
        <v>486</v>
      </c>
    </row>
    <row r="351" spans="1:13">
      <c r="B351" s="21">
        <f t="shared" ref="B351" si="327">QUOTIENT( D351-1,$G$20)+1</f>
        <v>1</v>
      </c>
      <c r="C351" s="21">
        <f t="shared" ref="C351" si="328">D351-(B351-1)*$G$20</f>
        <v>82</v>
      </c>
      <c r="D351" s="21">
        <f>COUNT($D$26:$D350)+1</f>
        <v>82</v>
      </c>
      <c r="E351" s="21">
        <f t="shared" si="324"/>
        <v>351</v>
      </c>
      <c r="F351" s="9" t="s">
        <v>143</v>
      </c>
      <c r="M351" s="21">
        <v>180011</v>
      </c>
    </row>
    <row r="352" spans="1:13">
      <c r="A352" s="21" t="s">
        <v>228</v>
      </c>
      <c r="E352" s="21">
        <f t="shared" si="324"/>
        <v>352</v>
      </c>
      <c r="F352" s="9" t="s">
        <v>127</v>
      </c>
      <c r="G352" s="21">
        <v>6</v>
      </c>
      <c r="M352" s="21">
        <f t="shared" ref="M352" si="329">C351*G352</f>
        <v>492</v>
      </c>
    </row>
    <row r="353" spans="1:13">
      <c r="E353" s="21">
        <f t="shared" si="324"/>
        <v>353</v>
      </c>
      <c r="F353" s="9" t="s">
        <v>143</v>
      </c>
      <c r="M353" s="21">
        <v>180012</v>
      </c>
    </row>
    <row r="354" spans="1:13">
      <c r="E354" s="21">
        <f t="shared" si="324"/>
        <v>354</v>
      </c>
      <c r="F354" s="9" t="s">
        <v>127</v>
      </c>
      <c r="G354" s="21">
        <v>6</v>
      </c>
      <c r="M354" s="21">
        <f t="shared" ref="M354" si="330">M352</f>
        <v>492</v>
      </c>
    </row>
    <row r="355" spans="1:13">
      <c r="B355" s="21">
        <f t="shared" ref="B355" si="331">QUOTIENT( D355-1,$G$20)+1</f>
        <v>1</v>
      </c>
      <c r="C355" s="21">
        <f t="shared" ref="C355" si="332">D355-(B355-1)*$G$20</f>
        <v>83</v>
      </c>
      <c r="D355" s="21">
        <f>COUNT($D$26:$D354)+1</f>
        <v>83</v>
      </c>
      <c r="E355" s="21">
        <f t="shared" si="324"/>
        <v>355</v>
      </c>
      <c r="F355" s="9" t="s">
        <v>143</v>
      </c>
      <c r="M355" s="21">
        <v>180011</v>
      </c>
    </row>
    <row r="356" spans="1:13">
      <c r="A356" s="21" t="s">
        <v>228</v>
      </c>
      <c r="E356" s="21">
        <f t="shared" si="324"/>
        <v>356</v>
      </c>
      <c r="F356" s="9" t="s">
        <v>127</v>
      </c>
      <c r="G356" s="21">
        <v>6</v>
      </c>
      <c r="M356" s="21">
        <f t="shared" ref="M356" si="333">C355*G356</f>
        <v>498</v>
      </c>
    </row>
    <row r="357" spans="1:13">
      <c r="E357" s="21">
        <f t="shared" si="324"/>
        <v>357</v>
      </c>
      <c r="F357" s="9" t="s">
        <v>143</v>
      </c>
      <c r="M357" s="21">
        <v>180012</v>
      </c>
    </row>
    <row r="358" spans="1:13">
      <c r="E358" s="21">
        <f t="shared" si="324"/>
        <v>358</v>
      </c>
      <c r="F358" s="9" t="s">
        <v>127</v>
      </c>
      <c r="G358" s="21">
        <v>6</v>
      </c>
      <c r="M358" s="21">
        <f t="shared" ref="M358" si="334">M356</f>
        <v>498</v>
      </c>
    </row>
    <row r="359" spans="1:13">
      <c r="B359" s="21">
        <f t="shared" ref="B359" si="335">QUOTIENT( D359-1,$G$20)+1</f>
        <v>1</v>
      </c>
      <c r="C359" s="21">
        <f t="shared" ref="C359" si="336">D359-(B359-1)*$G$20</f>
        <v>84</v>
      </c>
      <c r="D359" s="21">
        <f>COUNT($D$26:$D358)+1</f>
        <v>84</v>
      </c>
      <c r="E359" s="21">
        <f t="shared" si="324"/>
        <v>359</v>
      </c>
      <c r="F359" s="9" t="s">
        <v>143</v>
      </c>
      <c r="M359" s="21">
        <v>180011</v>
      </c>
    </row>
    <row r="360" spans="1:13">
      <c r="A360" s="21" t="s">
        <v>228</v>
      </c>
      <c r="E360" s="21">
        <f t="shared" si="324"/>
        <v>360</v>
      </c>
      <c r="F360" s="9" t="s">
        <v>127</v>
      </c>
      <c r="G360" s="21">
        <v>6</v>
      </c>
      <c r="M360" s="21">
        <f t="shared" ref="M360" si="337">C359*G360</f>
        <v>504</v>
      </c>
    </row>
    <row r="361" spans="1:13">
      <c r="E361" s="21">
        <f t="shared" si="324"/>
        <v>361</v>
      </c>
      <c r="F361" s="9" t="s">
        <v>143</v>
      </c>
      <c r="M361" s="21">
        <v>180012</v>
      </c>
    </row>
    <row r="362" spans="1:13">
      <c r="E362" s="21">
        <f t="shared" si="324"/>
        <v>362</v>
      </c>
      <c r="F362" s="9" t="s">
        <v>127</v>
      </c>
      <c r="G362" s="21">
        <v>6</v>
      </c>
      <c r="M362" s="21">
        <f t="shared" ref="M362" si="338">M360</f>
        <v>504</v>
      </c>
    </row>
    <row r="363" spans="1:13">
      <c r="B363" s="21">
        <f t="shared" ref="B363" si="339">QUOTIENT( D363-1,$G$20)+1</f>
        <v>1</v>
      </c>
      <c r="C363" s="21">
        <f t="shared" ref="C363" si="340">D363-(B363-1)*$G$20</f>
        <v>85</v>
      </c>
      <c r="D363" s="21">
        <f>COUNT($D$26:$D362)+1</f>
        <v>85</v>
      </c>
      <c r="E363" s="21">
        <f t="shared" si="324"/>
        <v>363</v>
      </c>
      <c r="F363" s="9" t="s">
        <v>143</v>
      </c>
      <c r="M363" s="21">
        <v>180011</v>
      </c>
    </row>
    <row r="364" spans="1:13">
      <c r="A364" s="21" t="s">
        <v>228</v>
      </c>
      <c r="E364" s="21">
        <f t="shared" si="324"/>
        <v>364</v>
      </c>
      <c r="F364" s="9" t="s">
        <v>127</v>
      </c>
      <c r="G364" s="21">
        <v>6</v>
      </c>
      <c r="M364" s="21">
        <f t="shared" ref="M364" si="341">C363*G364</f>
        <v>510</v>
      </c>
    </row>
    <row r="365" spans="1:13">
      <c r="E365" s="21">
        <f t="shared" si="324"/>
        <v>365</v>
      </c>
      <c r="F365" s="9" t="s">
        <v>143</v>
      </c>
      <c r="M365" s="21">
        <v>180012</v>
      </c>
    </row>
    <row r="366" spans="1:13">
      <c r="E366" s="21">
        <f t="shared" si="324"/>
        <v>366</v>
      </c>
      <c r="F366" s="9" t="s">
        <v>127</v>
      </c>
      <c r="G366" s="21">
        <v>6</v>
      </c>
      <c r="M366" s="21">
        <f t="shared" ref="M366" si="342">M364</f>
        <v>510</v>
      </c>
    </row>
    <row r="367" spans="1:13">
      <c r="B367" s="21">
        <f t="shared" ref="B367" si="343">QUOTIENT( D367-1,$G$20)+1</f>
        <v>1</v>
      </c>
      <c r="C367" s="21">
        <f t="shared" ref="C367" si="344">D367-(B367-1)*$G$20</f>
        <v>86</v>
      </c>
      <c r="D367" s="21">
        <f>COUNT($D$26:$D366)+1</f>
        <v>86</v>
      </c>
      <c r="E367" s="21">
        <f t="shared" si="324"/>
        <v>367</v>
      </c>
      <c r="F367" s="9" t="s">
        <v>143</v>
      </c>
      <c r="M367" s="21">
        <v>180011</v>
      </c>
    </row>
    <row r="368" spans="1:13">
      <c r="A368" s="21" t="s">
        <v>228</v>
      </c>
      <c r="E368" s="21">
        <f t="shared" si="324"/>
        <v>368</v>
      </c>
      <c r="F368" s="9" t="s">
        <v>127</v>
      </c>
      <c r="G368" s="21">
        <v>6</v>
      </c>
      <c r="M368" s="21">
        <f t="shared" ref="M368" si="345">C367*G368</f>
        <v>516</v>
      </c>
    </row>
    <row r="369" spans="1:13">
      <c r="E369" s="21">
        <f t="shared" si="324"/>
        <v>369</v>
      </c>
      <c r="F369" s="9" t="s">
        <v>143</v>
      </c>
      <c r="M369" s="21">
        <v>180012</v>
      </c>
    </row>
    <row r="370" spans="1:13">
      <c r="E370" s="21">
        <f t="shared" si="324"/>
        <v>370</v>
      </c>
      <c r="F370" s="9" t="s">
        <v>127</v>
      </c>
      <c r="G370" s="21">
        <v>6</v>
      </c>
      <c r="M370" s="21">
        <f t="shared" ref="M370" si="346">M368</f>
        <v>516</v>
      </c>
    </row>
    <row r="371" spans="1:13">
      <c r="B371" s="21">
        <f t="shared" ref="B371" si="347">QUOTIENT( D371-1,$G$20)+1</f>
        <v>1</v>
      </c>
      <c r="C371" s="21">
        <f t="shared" ref="C371" si="348">D371-(B371-1)*$G$20</f>
        <v>87</v>
      </c>
      <c r="D371" s="21">
        <f>COUNT($D$26:$D370)+1</f>
        <v>87</v>
      </c>
      <c r="E371" s="21">
        <f t="shared" si="324"/>
        <v>371</v>
      </c>
      <c r="F371" s="9" t="s">
        <v>143</v>
      </c>
      <c r="M371" s="21">
        <v>180011</v>
      </c>
    </row>
    <row r="372" spans="1:13">
      <c r="A372" s="21" t="s">
        <v>228</v>
      </c>
      <c r="E372" s="21">
        <f t="shared" si="324"/>
        <v>372</v>
      </c>
      <c r="F372" s="9" t="s">
        <v>127</v>
      </c>
      <c r="G372" s="21">
        <v>6</v>
      </c>
      <c r="M372" s="21">
        <f t="shared" ref="M372" si="349">C371*G372</f>
        <v>522</v>
      </c>
    </row>
    <row r="373" spans="1:13">
      <c r="E373" s="21">
        <f t="shared" si="324"/>
        <v>373</v>
      </c>
      <c r="F373" s="9" t="s">
        <v>143</v>
      </c>
      <c r="M373" s="21">
        <v>180012</v>
      </c>
    </row>
    <row r="374" spans="1:13">
      <c r="E374" s="21">
        <f t="shared" si="324"/>
        <v>374</v>
      </c>
      <c r="F374" s="9" t="s">
        <v>127</v>
      </c>
      <c r="G374" s="21">
        <v>6</v>
      </c>
      <c r="M374" s="21">
        <f t="shared" ref="M374" si="350">M372</f>
        <v>522</v>
      </c>
    </row>
    <row r="375" spans="1:13">
      <c r="B375" s="21">
        <f t="shared" ref="B375" si="351">QUOTIENT( D375-1,$G$20)+1</f>
        <v>1</v>
      </c>
      <c r="C375" s="21">
        <f t="shared" ref="C375" si="352">D375-(B375-1)*$G$20</f>
        <v>88</v>
      </c>
      <c r="D375" s="21">
        <f>COUNT($D$26:$D374)+1</f>
        <v>88</v>
      </c>
      <c r="E375" s="21">
        <f t="shared" si="324"/>
        <v>375</v>
      </c>
      <c r="F375" s="9" t="s">
        <v>143</v>
      </c>
      <c r="M375" s="21">
        <v>180011</v>
      </c>
    </row>
    <row r="376" spans="1:13">
      <c r="A376" s="21" t="s">
        <v>228</v>
      </c>
      <c r="E376" s="21">
        <f t="shared" si="324"/>
        <v>376</v>
      </c>
      <c r="F376" s="9" t="s">
        <v>127</v>
      </c>
      <c r="G376" s="21">
        <v>6</v>
      </c>
      <c r="M376" s="21">
        <f t="shared" ref="M376" si="353">C375*G376</f>
        <v>528</v>
      </c>
    </row>
    <row r="377" spans="1:13">
      <c r="E377" s="21">
        <f t="shared" si="324"/>
        <v>377</v>
      </c>
      <c r="F377" s="9" t="s">
        <v>143</v>
      </c>
      <c r="M377" s="21">
        <v>180012</v>
      </c>
    </row>
    <row r="378" spans="1:13">
      <c r="E378" s="21">
        <f t="shared" si="324"/>
        <v>378</v>
      </c>
      <c r="F378" s="9" t="s">
        <v>127</v>
      </c>
      <c r="G378" s="21">
        <v>6</v>
      </c>
      <c r="M378" s="21">
        <f t="shared" ref="M378" si="354">M376</f>
        <v>528</v>
      </c>
    </row>
    <row r="379" spans="1:13">
      <c r="B379" s="21">
        <f t="shared" ref="B379" si="355">QUOTIENT( D379-1,$G$20)+1</f>
        <v>1</v>
      </c>
      <c r="C379" s="21">
        <f t="shared" ref="C379" si="356">D379-(B379-1)*$G$20</f>
        <v>89</v>
      </c>
      <c r="D379" s="21">
        <f>COUNT($D$26:$D378)+1</f>
        <v>89</v>
      </c>
      <c r="E379" s="21">
        <f t="shared" si="324"/>
        <v>379</v>
      </c>
      <c r="F379" s="9" t="s">
        <v>143</v>
      </c>
      <c r="M379" s="21">
        <v>180011</v>
      </c>
    </row>
    <row r="380" spans="1:13">
      <c r="A380" s="21" t="s">
        <v>228</v>
      </c>
      <c r="E380" s="21">
        <f t="shared" si="324"/>
        <v>380</v>
      </c>
      <c r="F380" s="9" t="s">
        <v>127</v>
      </c>
      <c r="G380" s="21">
        <v>6</v>
      </c>
      <c r="M380" s="21">
        <f t="shared" ref="M380" si="357">C379*G380</f>
        <v>534</v>
      </c>
    </row>
    <row r="381" spans="1:13">
      <c r="E381" s="21">
        <f t="shared" si="324"/>
        <v>381</v>
      </c>
      <c r="F381" s="9" t="s">
        <v>143</v>
      </c>
      <c r="M381" s="21">
        <v>180012</v>
      </c>
    </row>
    <row r="382" spans="1:13">
      <c r="E382" s="21">
        <f t="shared" si="324"/>
        <v>382</v>
      </c>
      <c r="F382" s="9" t="s">
        <v>127</v>
      </c>
      <c r="G382" s="21">
        <v>6</v>
      </c>
      <c r="M382" s="21">
        <f t="shared" ref="M382" si="358">M380</f>
        <v>534</v>
      </c>
    </row>
    <row r="383" spans="1:13">
      <c r="B383" s="21">
        <f t="shared" ref="B383" si="359">QUOTIENT( D383-1,$G$20)+1</f>
        <v>1</v>
      </c>
      <c r="C383" s="21">
        <f t="shared" ref="C383" si="360">D383-(B383-1)*$G$20</f>
        <v>90</v>
      </c>
      <c r="D383" s="21">
        <f>COUNT($D$26:$D382)+1</f>
        <v>90</v>
      </c>
      <c r="E383" s="21">
        <f t="shared" si="324"/>
        <v>383</v>
      </c>
      <c r="F383" s="9" t="s">
        <v>143</v>
      </c>
      <c r="M383" s="21">
        <v>180011</v>
      </c>
    </row>
    <row r="384" spans="1:13">
      <c r="A384" s="21" t="s">
        <v>228</v>
      </c>
      <c r="E384" s="21">
        <f t="shared" si="324"/>
        <v>384</v>
      </c>
      <c r="F384" s="9" t="s">
        <v>127</v>
      </c>
      <c r="G384" s="21">
        <v>6</v>
      </c>
      <c r="M384" s="21">
        <f t="shared" ref="M384" si="361">C383*G384</f>
        <v>540</v>
      </c>
    </row>
    <row r="385" spans="1:13">
      <c r="E385" s="21">
        <f t="shared" si="324"/>
        <v>385</v>
      </c>
      <c r="F385" s="9" t="s">
        <v>143</v>
      </c>
      <c r="M385" s="21">
        <v>180012</v>
      </c>
    </row>
    <row r="386" spans="1:13">
      <c r="E386" s="21">
        <f t="shared" si="324"/>
        <v>386</v>
      </c>
      <c r="F386" s="9" t="s">
        <v>127</v>
      </c>
      <c r="G386" s="21">
        <v>6</v>
      </c>
      <c r="M386" s="21">
        <f t="shared" ref="M386" si="362">M384</f>
        <v>540</v>
      </c>
    </row>
    <row r="387" spans="1:13">
      <c r="B387" s="21">
        <f t="shared" ref="B387" si="363">QUOTIENT( D387-1,$G$20)+1</f>
        <v>1</v>
      </c>
      <c r="C387" s="21">
        <f t="shared" ref="C387" si="364">D387-(B387-1)*$G$20</f>
        <v>91</v>
      </c>
      <c r="D387" s="21">
        <f>COUNT($D$26:$D386)+1</f>
        <v>91</v>
      </c>
      <c r="E387" s="21">
        <f t="shared" si="324"/>
        <v>387</v>
      </c>
      <c r="F387" s="9" t="s">
        <v>143</v>
      </c>
      <c r="M387" s="21">
        <v>180011</v>
      </c>
    </row>
    <row r="388" spans="1:13">
      <c r="A388" s="21" t="s">
        <v>228</v>
      </c>
      <c r="E388" s="21">
        <f t="shared" si="324"/>
        <v>388</v>
      </c>
      <c r="F388" s="9" t="s">
        <v>127</v>
      </c>
      <c r="G388" s="21">
        <v>6</v>
      </c>
      <c r="M388" s="21">
        <f t="shared" ref="M388" si="365">C387*G388</f>
        <v>546</v>
      </c>
    </row>
    <row r="389" spans="1:13">
      <c r="E389" s="21">
        <f t="shared" si="324"/>
        <v>389</v>
      </c>
      <c r="F389" s="9" t="s">
        <v>143</v>
      </c>
      <c r="M389" s="21">
        <v>180012</v>
      </c>
    </row>
    <row r="390" spans="1:13">
      <c r="E390" s="21">
        <f t="shared" si="324"/>
        <v>390</v>
      </c>
      <c r="F390" s="9" t="s">
        <v>127</v>
      </c>
      <c r="G390" s="21">
        <v>6</v>
      </c>
      <c r="M390" s="21">
        <f t="shared" ref="M390" si="366">M388</f>
        <v>546</v>
      </c>
    </row>
    <row r="391" spans="1:13">
      <c r="B391" s="21">
        <f t="shared" ref="B391" si="367">QUOTIENT( D391-1,$G$20)+1</f>
        <v>1</v>
      </c>
      <c r="C391" s="21">
        <f t="shared" ref="C391" si="368">D391-(B391-1)*$G$20</f>
        <v>92</v>
      </c>
      <c r="D391" s="21">
        <f>COUNT($D$26:$D390)+1</f>
        <v>92</v>
      </c>
      <c r="E391" s="21">
        <f t="shared" si="324"/>
        <v>391</v>
      </c>
      <c r="F391" s="9" t="s">
        <v>143</v>
      </c>
      <c r="M391" s="21">
        <v>180011</v>
      </c>
    </row>
    <row r="392" spans="1:13">
      <c r="A392" s="21" t="s">
        <v>228</v>
      </c>
      <c r="E392" s="21">
        <f t="shared" si="324"/>
        <v>392</v>
      </c>
      <c r="F392" s="9" t="s">
        <v>127</v>
      </c>
      <c r="G392" s="21">
        <v>6</v>
      </c>
      <c r="M392" s="21">
        <f t="shared" ref="M392" si="369">C391*G392</f>
        <v>552</v>
      </c>
    </row>
    <row r="393" spans="1:13">
      <c r="E393" s="21">
        <f t="shared" si="324"/>
        <v>393</v>
      </c>
      <c r="F393" s="9" t="s">
        <v>143</v>
      </c>
      <c r="M393" s="21">
        <v>180012</v>
      </c>
    </row>
    <row r="394" spans="1:13">
      <c r="E394" s="21">
        <f t="shared" si="324"/>
        <v>394</v>
      </c>
      <c r="F394" s="9" t="s">
        <v>127</v>
      </c>
      <c r="G394" s="21">
        <v>6</v>
      </c>
      <c r="M394" s="21">
        <f t="shared" ref="M394" si="370">M392</f>
        <v>552</v>
      </c>
    </row>
    <row r="395" spans="1:13">
      <c r="B395" s="21">
        <f t="shared" ref="B395" si="371">QUOTIENT( D395-1,$G$20)+1</f>
        <v>1</v>
      </c>
      <c r="C395" s="21">
        <f t="shared" ref="C395" si="372">D395-(B395-1)*$G$20</f>
        <v>93</v>
      </c>
      <c r="D395" s="21">
        <f>COUNT($D$26:$D394)+1</f>
        <v>93</v>
      </c>
      <c r="E395" s="21">
        <f t="shared" si="324"/>
        <v>395</v>
      </c>
      <c r="F395" s="9" t="s">
        <v>143</v>
      </c>
      <c r="M395" s="21">
        <v>180011</v>
      </c>
    </row>
    <row r="396" spans="1:13">
      <c r="A396" s="21" t="s">
        <v>228</v>
      </c>
      <c r="E396" s="21">
        <f t="shared" si="324"/>
        <v>396</v>
      </c>
      <c r="F396" s="9" t="s">
        <v>127</v>
      </c>
      <c r="G396" s="21">
        <v>6</v>
      </c>
      <c r="M396" s="21">
        <f t="shared" ref="M396" si="373">C395*G396</f>
        <v>558</v>
      </c>
    </row>
    <row r="397" spans="1:13">
      <c r="E397" s="21">
        <f t="shared" si="324"/>
        <v>397</v>
      </c>
      <c r="F397" s="9" t="s">
        <v>143</v>
      </c>
      <c r="M397" s="21">
        <v>180012</v>
      </c>
    </row>
    <row r="398" spans="1:13">
      <c r="E398" s="21">
        <f t="shared" si="324"/>
        <v>398</v>
      </c>
      <c r="F398" s="9" t="s">
        <v>127</v>
      </c>
      <c r="G398" s="21">
        <v>6</v>
      </c>
      <c r="M398" s="21">
        <f t="shared" ref="M398" si="374">M396</f>
        <v>558</v>
      </c>
    </row>
    <row r="399" spans="1:13">
      <c r="B399" s="21">
        <f t="shared" ref="B399" si="375">QUOTIENT( D399-1,$G$20)+1</f>
        <v>1</v>
      </c>
      <c r="C399" s="21">
        <f t="shared" ref="C399" si="376">D399-(B399-1)*$G$20</f>
        <v>94</v>
      </c>
      <c r="D399" s="21">
        <f>COUNT($D$26:$D398)+1</f>
        <v>94</v>
      </c>
      <c r="E399" s="21">
        <f t="shared" si="324"/>
        <v>399</v>
      </c>
      <c r="F399" s="9" t="s">
        <v>143</v>
      </c>
      <c r="M399" s="21">
        <v>180011</v>
      </c>
    </row>
    <row r="400" spans="1:13">
      <c r="A400" s="21" t="s">
        <v>228</v>
      </c>
      <c r="E400" s="21">
        <f t="shared" si="324"/>
        <v>400</v>
      </c>
      <c r="F400" s="9" t="s">
        <v>127</v>
      </c>
      <c r="G400" s="21">
        <v>6</v>
      </c>
      <c r="M400" s="21">
        <f t="shared" ref="M400" si="377">C399*G400</f>
        <v>564</v>
      </c>
    </row>
    <row r="401" spans="1:13">
      <c r="E401" s="21">
        <f t="shared" si="324"/>
        <v>401</v>
      </c>
      <c r="F401" s="9" t="s">
        <v>143</v>
      </c>
      <c r="M401" s="21">
        <v>180012</v>
      </c>
    </row>
    <row r="402" spans="1:13">
      <c r="E402" s="21">
        <f t="shared" si="324"/>
        <v>402</v>
      </c>
      <c r="F402" s="9" t="s">
        <v>127</v>
      </c>
      <c r="G402" s="21">
        <v>6</v>
      </c>
      <c r="M402" s="21">
        <f t="shared" ref="M402" si="378">M400</f>
        <v>564</v>
      </c>
    </row>
    <row r="403" spans="1:13">
      <c r="B403" s="21">
        <f t="shared" ref="B403" si="379">QUOTIENT( D403-1,$G$20)+1</f>
        <v>1</v>
      </c>
      <c r="C403" s="21">
        <f t="shared" ref="C403" si="380">D403-(B403-1)*$G$20</f>
        <v>95</v>
      </c>
      <c r="D403" s="21">
        <f>COUNT($D$26:$D402)+1</f>
        <v>95</v>
      </c>
      <c r="E403" s="21">
        <f t="shared" si="324"/>
        <v>403</v>
      </c>
      <c r="F403" s="9" t="s">
        <v>143</v>
      </c>
      <c r="M403" s="21">
        <v>180011</v>
      </c>
    </row>
    <row r="404" spans="1:13">
      <c r="A404" s="21" t="s">
        <v>228</v>
      </c>
      <c r="E404" s="21">
        <f t="shared" si="324"/>
        <v>404</v>
      </c>
      <c r="F404" s="9" t="s">
        <v>127</v>
      </c>
      <c r="G404" s="21">
        <v>6</v>
      </c>
      <c r="M404" s="21">
        <f t="shared" ref="M404" si="381">C403*G404</f>
        <v>570</v>
      </c>
    </row>
    <row r="405" spans="1:13">
      <c r="E405" s="21">
        <f t="shared" si="324"/>
        <v>405</v>
      </c>
      <c r="F405" s="9" t="s">
        <v>143</v>
      </c>
      <c r="M405" s="21">
        <v>180012</v>
      </c>
    </row>
    <row r="406" spans="1:13">
      <c r="E406" s="21">
        <f t="shared" si="324"/>
        <v>406</v>
      </c>
      <c r="F406" s="9" t="s">
        <v>127</v>
      </c>
      <c r="G406" s="21">
        <v>6</v>
      </c>
      <c r="M406" s="21">
        <f t="shared" ref="M406" si="382">M404</f>
        <v>570</v>
      </c>
    </row>
    <row r="407" spans="1:13">
      <c r="B407" s="21">
        <f t="shared" ref="B407" si="383">QUOTIENT( D407-1,$G$20)+1</f>
        <v>1</v>
      </c>
      <c r="C407" s="21">
        <f t="shared" ref="C407" si="384">D407-(B407-1)*$G$20</f>
        <v>96</v>
      </c>
      <c r="D407" s="21">
        <f>COUNT($D$26:$D406)+1</f>
        <v>96</v>
      </c>
      <c r="E407" s="21">
        <f t="shared" si="324"/>
        <v>407</v>
      </c>
      <c r="F407" s="9" t="s">
        <v>143</v>
      </c>
      <c r="M407" s="21">
        <v>180011</v>
      </c>
    </row>
    <row r="408" spans="1:13">
      <c r="A408" s="21" t="s">
        <v>228</v>
      </c>
      <c r="E408" s="21">
        <f t="shared" si="324"/>
        <v>408</v>
      </c>
      <c r="F408" s="9" t="s">
        <v>127</v>
      </c>
      <c r="G408" s="21">
        <v>6</v>
      </c>
      <c r="M408" s="21">
        <f t="shared" ref="M408" si="385">C407*G408</f>
        <v>576</v>
      </c>
    </row>
    <row r="409" spans="1:13">
      <c r="E409" s="21">
        <f t="shared" si="324"/>
        <v>409</v>
      </c>
      <c r="F409" s="9" t="s">
        <v>143</v>
      </c>
      <c r="M409" s="21">
        <v>180012</v>
      </c>
    </row>
    <row r="410" spans="1:13">
      <c r="E410" s="21">
        <f t="shared" si="324"/>
        <v>410</v>
      </c>
      <c r="F410" s="9" t="s">
        <v>127</v>
      </c>
      <c r="G410" s="21">
        <v>6</v>
      </c>
      <c r="M410" s="21">
        <f t="shared" ref="M410" si="386">M408</f>
        <v>576</v>
      </c>
    </row>
    <row r="411" spans="1:13">
      <c r="B411" s="21">
        <f t="shared" ref="B411" si="387">QUOTIENT( D411-1,$G$20)+1</f>
        <v>1</v>
      </c>
      <c r="C411" s="21">
        <f t="shared" ref="C411" si="388">D411-(B411-1)*$G$20</f>
        <v>97</v>
      </c>
      <c r="D411" s="21">
        <f>COUNT($D$26:$D410)+1</f>
        <v>97</v>
      </c>
      <c r="E411" s="21">
        <f t="shared" ref="E411:E474" si="389">ROW(E411)</f>
        <v>411</v>
      </c>
      <c r="F411" s="9" t="s">
        <v>143</v>
      </c>
      <c r="M411" s="21">
        <v>180011</v>
      </c>
    </row>
    <row r="412" spans="1:13">
      <c r="A412" s="21" t="s">
        <v>228</v>
      </c>
      <c r="E412" s="21">
        <f t="shared" si="389"/>
        <v>412</v>
      </c>
      <c r="F412" s="9" t="s">
        <v>127</v>
      </c>
      <c r="G412" s="21">
        <v>6</v>
      </c>
      <c r="M412" s="21">
        <f t="shared" ref="M412" si="390">C411*G412</f>
        <v>582</v>
      </c>
    </row>
    <row r="413" spans="1:13">
      <c r="E413" s="21">
        <f t="shared" si="389"/>
        <v>413</v>
      </c>
      <c r="F413" s="9" t="s">
        <v>143</v>
      </c>
      <c r="M413" s="21">
        <v>180012</v>
      </c>
    </row>
    <row r="414" spans="1:13">
      <c r="E414" s="21">
        <f t="shared" si="389"/>
        <v>414</v>
      </c>
      <c r="F414" s="9" t="s">
        <v>127</v>
      </c>
      <c r="G414" s="21">
        <v>6</v>
      </c>
      <c r="M414" s="21">
        <f t="shared" ref="M414" si="391">M412</f>
        <v>582</v>
      </c>
    </row>
    <row r="415" spans="1:13">
      <c r="B415" s="21">
        <f t="shared" ref="B415" si="392">QUOTIENT( D415-1,$G$20)+1</f>
        <v>1</v>
      </c>
      <c r="C415" s="21">
        <f t="shared" ref="C415" si="393">D415-(B415-1)*$G$20</f>
        <v>98</v>
      </c>
      <c r="D415" s="21">
        <f>COUNT($D$26:$D414)+1</f>
        <v>98</v>
      </c>
      <c r="E415" s="21">
        <f t="shared" si="389"/>
        <v>415</v>
      </c>
      <c r="F415" s="9" t="s">
        <v>143</v>
      </c>
      <c r="M415" s="21">
        <v>180011</v>
      </c>
    </row>
    <row r="416" spans="1:13">
      <c r="A416" s="21" t="s">
        <v>228</v>
      </c>
      <c r="E416" s="21">
        <f t="shared" si="389"/>
        <v>416</v>
      </c>
      <c r="F416" s="9" t="s">
        <v>127</v>
      </c>
      <c r="G416" s="21">
        <v>6</v>
      </c>
      <c r="M416" s="21">
        <f t="shared" ref="M416" si="394">C415*G416</f>
        <v>588</v>
      </c>
    </row>
    <row r="417" spans="1:13">
      <c r="E417" s="21">
        <f t="shared" si="389"/>
        <v>417</v>
      </c>
      <c r="F417" s="9" t="s">
        <v>143</v>
      </c>
      <c r="M417" s="21">
        <v>180012</v>
      </c>
    </row>
    <row r="418" spans="1:13">
      <c r="E418" s="21">
        <f t="shared" si="389"/>
        <v>418</v>
      </c>
      <c r="F418" s="9" t="s">
        <v>127</v>
      </c>
      <c r="G418" s="21">
        <v>6</v>
      </c>
      <c r="M418" s="21">
        <f t="shared" ref="M418" si="395">M416</f>
        <v>588</v>
      </c>
    </row>
    <row r="419" spans="1:13">
      <c r="B419" s="21">
        <f t="shared" ref="B419" si="396">QUOTIENT( D419-1,$G$20)+1</f>
        <v>1</v>
      </c>
      <c r="C419" s="21">
        <f t="shared" ref="C419" si="397">D419-(B419-1)*$G$20</f>
        <v>99</v>
      </c>
      <c r="D419" s="21">
        <f>COUNT($D$26:$D418)+1</f>
        <v>99</v>
      </c>
      <c r="E419" s="21">
        <f t="shared" si="389"/>
        <v>419</v>
      </c>
      <c r="F419" s="9" t="s">
        <v>143</v>
      </c>
      <c r="M419" s="21">
        <v>180011</v>
      </c>
    </row>
    <row r="420" spans="1:13">
      <c r="A420" s="21" t="s">
        <v>228</v>
      </c>
      <c r="E420" s="21">
        <f t="shared" si="389"/>
        <v>420</v>
      </c>
      <c r="F420" s="9" t="s">
        <v>127</v>
      </c>
      <c r="G420" s="21">
        <v>6</v>
      </c>
      <c r="M420" s="21">
        <f t="shared" ref="M420" si="398">C419*G420</f>
        <v>594</v>
      </c>
    </row>
    <row r="421" spans="1:13">
      <c r="E421" s="21">
        <f t="shared" si="389"/>
        <v>421</v>
      </c>
      <c r="F421" s="9" t="s">
        <v>143</v>
      </c>
      <c r="M421" s="21">
        <v>180012</v>
      </c>
    </row>
    <row r="422" spans="1:13">
      <c r="E422" s="21">
        <f t="shared" si="389"/>
        <v>422</v>
      </c>
      <c r="F422" s="9" t="s">
        <v>127</v>
      </c>
      <c r="G422" s="21">
        <v>6</v>
      </c>
      <c r="M422" s="21">
        <f t="shared" ref="M422" si="399">M420</f>
        <v>594</v>
      </c>
    </row>
    <row r="423" spans="1:13">
      <c r="B423" s="21">
        <f t="shared" ref="B423" si="400">QUOTIENT( D423-1,$G$20)+1</f>
        <v>1</v>
      </c>
      <c r="C423" s="21">
        <f t="shared" ref="C423" si="401">D423-(B423-1)*$G$20</f>
        <v>100</v>
      </c>
      <c r="D423" s="21">
        <f>COUNT($D$26:$D422)+1</f>
        <v>100</v>
      </c>
      <c r="E423" s="21">
        <f t="shared" si="389"/>
        <v>423</v>
      </c>
      <c r="F423" s="9" t="s">
        <v>143</v>
      </c>
      <c r="M423" s="21">
        <v>180011</v>
      </c>
    </row>
    <row r="424" spans="1:13">
      <c r="A424" s="21" t="s">
        <v>228</v>
      </c>
      <c r="E424" s="21">
        <f t="shared" si="389"/>
        <v>424</v>
      </c>
      <c r="F424" s="9" t="s">
        <v>127</v>
      </c>
      <c r="G424" s="21">
        <v>6</v>
      </c>
      <c r="M424" s="21">
        <f t="shared" ref="M424" si="402">C423*G424</f>
        <v>600</v>
      </c>
    </row>
    <row r="425" spans="1:13">
      <c r="E425" s="21">
        <f t="shared" si="389"/>
        <v>425</v>
      </c>
      <c r="F425" s="9" t="s">
        <v>143</v>
      </c>
      <c r="M425" s="21">
        <v>180012</v>
      </c>
    </row>
    <row r="426" spans="1:13">
      <c r="E426" s="21">
        <f t="shared" si="389"/>
        <v>426</v>
      </c>
      <c r="F426" s="9" t="s">
        <v>127</v>
      </c>
      <c r="G426" s="21">
        <v>6</v>
      </c>
      <c r="M426" s="21">
        <f t="shared" ref="M426" si="403">M424</f>
        <v>600</v>
      </c>
    </row>
    <row r="427" spans="1:13">
      <c r="B427" s="21">
        <f t="shared" ref="B427" si="404">QUOTIENT( D427-1,$G$20)+1</f>
        <v>1</v>
      </c>
      <c r="C427" s="21">
        <f t="shared" ref="C427" si="405">D427-(B427-1)*$G$20</f>
        <v>101</v>
      </c>
      <c r="D427" s="21">
        <f>COUNT($D$26:$D426)+1</f>
        <v>101</v>
      </c>
      <c r="E427" s="21">
        <f t="shared" si="389"/>
        <v>427</v>
      </c>
      <c r="F427" s="9" t="s">
        <v>143</v>
      </c>
      <c r="M427" s="21">
        <v>180011</v>
      </c>
    </row>
    <row r="428" spans="1:13">
      <c r="A428" s="21" t="s">
        <v>228</v>
      </c>
      <c r="E428" s="21">
        <f t="shared" si="389"/>
        <v>428</v>
      </c>
      <c r="F428" s="9" t="s">
        <v>127</v>
      </c>
      <c r="G428" s="21">
        <v>6</v>
      </c>
      <c r="M428" s="21">
        <f t="shared" ref="M428" si="406">C427*G428</f>
        <v>606</v>
      </c>
    </row>
    <row r="429" spans="1:13">
      <c r="E429" s="21">
        <f t="shared" si="389"/>
        <v>429</v>
      </c>
      <c r="F429" s="9" t="s">
        <v>143</v>
      </c>
      <c r="M429" s="21">
        <v>180012</v>
      </c>
    </row>
    <row r="430" spans="1:13">
      <c r="E430" s="21">
        <f t="shared" si="389"/>
        <v>430</v>
      </c>
      <c r="F430" s="9" t="s">
        <v>127</v>
      </c>
      <c r="G430" s="21">
        <v>6</v>
      </c>
      <c r="M430" s="21">
        <f t="shared" ref="M430" si="407">M428</f>
        <v>606</v>
      </c>
    </row>
    <row r="431" spans="1:13">
      <c r="B431" s="21">
        <f t="shared" ref="B431" si="408">QUOTIENT( D431-1,$G$20)+1</f>
        <v>1</v>
      </c>
      <c r="C431" s="21">
        <f t="shared" ref="C431" si="409">D431-(B431-1)*$G$20</f>
        <v>102</v>
      </c>
      <c r="D431" s="21">
        <f>COUNT($D$26:$D430)+1</f>
        <v>102</v>
      </c>
      <c r="E431" s="21">
        <f t="shared" si="389"/>
        <v>431</v>
      </c>
      <c r="F431" s="9" t="s">
        <v>143</v>
      </c>
      <c r="M431" s="21">
        <v>180011</v>
      </c>
    </row>
    <row r="432" spans="1:13">
      <c r="A432" s="21" t="s">
        <v>228</v>
      </c>
      <c r="E432" s="21">
        <f t="shared" si="389"/>
        <v>432</v>
      </c>
      <c r="F432" s="9" t="s">
        <v>127</v>
      </c>
      <c r="G432" s="21">
        <v>6</v>
      </c>
      <c r="M432" s="21">
        <f t="shared" ref="M432" si="410">C431*G432</f>
        <v>612</v>
      </c>
    </row>
    <row r="433" spans="1:13">
      <c r="E433" s="21">
        <f t="shared" si="389"/>
        <v>433</v>
      </c>
      <c r="F433" s="9" t="s">
        <v>143</v>
      </c>
      <c r="M433" s="21">
        <v>180012</v>
      </c>
    </row>
    <row r="434" spans="1:13">
      <c r="E434" s="21">
        <f t="shared" si="389"/>
        <v>434</v>
      </c>
      <c r="F434" s="9" t="s">
        <v>127</v>
      </c>
      <c r="G434" s="21">
        <v>6</v>
      </c>
      <c r="M434" s="21">
        <f t="shared" ref="M434" si="411">M432</f>
        <v>612</v>
      </c>
    </row>
    <row r="435" spans="1:13">
      <c r="B435" s="21">
        <f t="shared" ref="B435" si="412">QUOTIENT( D435-1,$G$20)+1</f>
        <v>1</v>
      </c>
      <c r="C435" s="21">
        <f t="shared" ref="C435" si="413">D435-(B435-1)*$G$20</f>
        <v>103</v>
      </c>
      <c r="D435" s="21">
        <f>COUNT($D$26:$D434)+1</f>
        <v>103</v>
      </c>
      <c r="E435" s="21">
        <f t="shared" si="389"/>
        <v>435</v>
      </c>
      <c r="F435" s="9" t="s">
        <v>143</v>
      </c>
      <c r="M435" s="21">
        <v>180011</v>
      </c>
    </row>
    <row r="436" spans="1:13">
      <c r="A436" s="21" t="s">
        <v>228</v>
      </c>
      <c r="E436" s="21">
        <f t="shared" si="389"/>
        <v>436</v>
      </c>
      <c r="F436" s="9" t="s">
        <v>127</v>
      </c>
      <c r="G436" s="21">
        <v>6</v>
      </c>
      <c r="M436" s="21">
        <f t="shared" ref="M436" si="414">C435*G436</f>
        <v>618</v>
      </c>
    </row>
    <row r="437" spans="1:13">
      <c r="E437" s="21">
        <f t="shared" si="389"/>
        <v>437</v>
      </c>
      <c r="F437" s="9" t="s">
        <v>143</v>
      </c>
      <c r="M437" s="21">
        <v>180012</v>
      </c>
    </row>
    <row r="438" spans="1:13">
      <c r="E438" s="21">
        <f t="shared" si="389"/>
        <v>438</v>
      </c>
      <c r="F438" s="9" t="s">
        <v>127</v>
      </c>
      <c r="G438" s="21">
        <v>6</v>
      </c>
      <c r="M438" s="21">
        <f t="shared" ref="M438" si="415">M436</f>
        <v>618</v>
      </c>
    </row>
    <row r="439" spans="1:13">
      <c r="B439" s="21">
        <f t="shared" ref="B439" si="416">QUOTIENT( D439-1,$G$20)+1</f>
        <v>1</v>
      </c>
      <c r="C439" s="21">
        <f t="shared" ref="C439" si="417">D439-(B439-1)*$G$20</f>
        <v>104</v>
      </c>
      <c r="D439" s="21">
        <f>COUNT($D$26:$D438)+1</f>
        <v>104</v>
      </c>
      <c r="E439" s="21">
        <f t="shared" si="389"/>
        <v>439</v>
      </c>
      <c r="F439" s="9" t="s">
        <v>143</v>
      </c>
      <c r="M439" s="21">
        <v>180011</v>
      </c>
    </row>
    <row r="440" spans="1:13">
      <c r="A440" s="21" t="s">
        <v>228</v>
      </c>
      <c r="E440" s="21">
        <f t="shared" si="389"/>
        <v>440</v>
      </c>
      <c r="F440" s="9" t="s">
        <v>127</v>
      </c>
      <c r="G440" s="21">
        <v>6</v>
      </c>
      <c r="M440" s="21">
        <f t="shared" ref="M440" si="418">C439*G440</f>
        <v>624</v>
      </c>
    </row>
    <row r="441" spans="1:13">
      <c r="E441" s="21">
        <f t="shared" si="389"/>
        <v>441</v>
      </c>
      <c r="F441" s="9" t="s">
        <v>143</v>
      </c>
      <c r="M441" s="21">
        <v>180012</v>
      </c>
    </row>
    <row r="442" spans="1:13">
      <c r="E442" s="21">
        <f t="shared" si="389"/>
        <v>442</v>
      </c>
      <c r="F442" s="9" t="s">
        <v>127</v>
      </c>
      <c r="G442" s="21">
        <v>6</v>
      </c>
      <c r="M442" s="21">
        <f t="shared" ref="M442" si="419">M440</f>
        <v>624</v>
      </c>
    </row>
    <row r="443" spans="1:13">
      <c r="B443" s="21">
        <f t="shared" ref="B443" si="420">QUOTIENT( D443-1,$G$20)+1</f>
        <v>1</v>
      </c>
      <c r="C443" s="21">
        <f t="shared" ref="C443" si="421">D443-(B443-1)*$G$20</f>
        <v>105</v>
      </c>
      <c r="D443" s="21">
        <f>COUNT($D$26:$D442)+1</f>
        <v>105</v>
      </c>
      <c r="E443" s="21">
        <f t="shared" si="389"/>
        <v>443</v>
      </c>
      <c r="F443" s="9" t="s">
        <v>143</v>
      </c>
      <c r="M443" s="21">
        <v>180011</v>
      </c>
    </row>
    <row r="444" spans="1:13">
      <c r="A444" s="21" t="s">
        <v>228</v>
      </c>
      <c r="E444" s="21">
        <f t="shared" si="389"/>
        <v>444</v>
      </c>
      <c r="F444" s="9" t="s">
        <v>127</v>
      </c>
      <c r="G444" s="21">
        <v>6</v>
      </c>
      <c r="M444" s="21">
        <f t="shared" ref="M444" si="422">C443*G444</f>
        <v>630</v>
      </c>
    </row>
    <row r="445" spans="1:13">
      <c r="E445" s="21">
        <f t="shared" si="389"/>
        <v>445</v>
      </c>
      <c r="F445" s="9" t="s">
        <v>143</v>
      </c>
      <c r="M445" s="21">
        <v>180012</v>
      </c>
    </row>
    <row r="446" spans="1:13">
      <c r="E446" s="21">
        <f t="shared" si="389"/>
        <v>446</v>
      </c>
      <c r="F446" s="9" t="s">
        <v>127</v>
      </c>
      <c r="G446" s="21">
        <v>6</v>
      </c>
      <c r="M446" s="21">
        <f t="shared" ref="M446" si="423">M444</f>
        <v>630</v>
      </c>
    </row>
    <row r="447" spans="1:13">
      <c r="B447" s="21">
        <f t="shared" ref="B447" si="424">QUOTIENT( D447-1,$G$20)+1</f>
        <v>1</v>
      </c>
      <c r="C447" s="21">
        <f t="shared" ref="C447" si="425">D447-(B447-1)*$G$20</f>
        <v>106</v>
      </c>
      <c r="D447" s="21">
        <f>COUNT($D$26:$D446)+1</f>
        <v>106</v>
      </c>
      <c r="E447" s="21">
        <f t="shared" si="389"/>
        <v>447</v>
      </c>
      <c r="F447" s="9" t="s">
        <v>143</v>
      </c>
      <c r="M447" s="21">
        <v>180011</v>
      </c>
    </row>
    <row r="448" spans="1:13">
      <c r="A448" s="21" t="s">
        <v>228</v>
      </c>
      <c r="E448" s="21">
        <f t="shared" si="389"/>
        <v>448</v>
      </c>
      <c r="F448" s="9" t="s">
        <v>127</v>
      </c>
      <c r="G448" s="21">
        <v>6</v>
      </c>
      <c r="M448" s="21">
        <f t="shared" ref="M448" si="426">C447*G448</f>
        <v>636</v>
      </c>
    </row>
    <row r="449" spans="1:13">
      <c r="E449" s="21">
        <f t="shared" si="389"/>
        <v>449</v>
      </c>
      <c r="F449" s="9" t="s">
        <v>143</v>
      </c>
      <c r="M449" s="21">
        <v>180012</v>
      </c>
    </row>
    <row r="450" spans="1:13">
      <c r="E450" s="21">
        <f t="shared" si="389"/>
        <v>450</v>
      </c>
      <c r="F450" s="9" t="s">
        <v>127</v>
      </c>
      <c r="G450" s="21">
        <v>6</v>
      </c>
      <c r="M450" s="21">
        <f t="shared" ref="M450" si="427">M448</f>
        <v>636</v>
      </c>
    </row>
    <row r="451" spans="1:13">
      <c r="B451" s="21">
        <f t="shared" ref="B451" si="428">QUOTIENT( D451-1,$G$20)+1</f>
        <v>1</v>
      </c>
      <c r="C451" s="21">
        <f t="shared" ref="C451" si="429">D451-(B451-1)*$G$20</f>
        <v>107</v>
      </c>
      <c r="D451" s="21">
        <f>COUNT($D$26:$D450)+1</f>
        <v>107</v>
      </c>
      <c r="E451" s="21">
        <f t="shared" si="389"/>
        <v>451</v>
      </c>
      <c r="F451" s="9" t="s">
        <v>143</v>
      </c>
      <c r="M451" s="21">
        <v>180011</v>
      </c>
    </row>
    <row r="452" spans="1:13">
      <c r="A452" s="21" t="s">
        <v>228</v>
      </c>
      <c r="E452" s="21">
        <f t="shared" si="389"/>
        <v>452</v>
      </c>
      <c r="F452" s="9" t="s">
        <v>127</v>
      </c>
      <c r="G452" s="21">
        <v>6</v>
      </c>
      <c r="M452" s="21">
        <f t="shared" ref="M452" si="430">C451*G452</f>
        <v>642</v>
      </c>
    </row>
    <row r="453" spans="1:13">
      <c r="E453" s="21">
        <f t="shared" si="389"/>
        <v>453</v>
      </c>
      <c r="F453" s="9" t="s">
        <v>143</v>
      </c>
      <c r="M453" s="21">
        <v>180012</v>
      </c>
    </row>
    <row r="454" spans="1:13">
      <c r="E454" s="21">
        <f t="shared" si="389"/>
        <v>454</v>
      </c>
      <c r="F454" s="9" t="s">
        <v>127</v>
      </c>
      <c r="G454" s="21">
        <v>6</v>
      </c>
      <c r="M454" s="21">
        <f t="shared" ref="M454" si="431">M452</f>
        <v>642</v>
      </c>
    </row>
    <row r="455" spans="1:13">
      <c r="B455" s="21">
        <f t="shared" ref="B455" si="432">QUOTIENT( D455-1,$G$20)+1</f>
        <v>1</v>
      </c>
      <c r="C455" s="21">
        <f t="shared" ref="C455" si="433">D455-(B455-1)*$G$20</f>
        <v>108</v>
      </c>
      <c r="D455" s="21">
        <f>COUNT($D$26:$D454)+1</f>
        <v>108</v>
      </c>
      <c r="E455" s="21">
        <f t="shared" si="389"/>
        <v>455</v>
      </c>
      <c r="F455" s="9" t="s">
        <v>143</v>
      </c>
      <c r="M455" s="21">
        <v>180011</v>
      </c>
    </row>
    <row r="456" spans="1:13">
      <c r="A456" s="21" t="s">
        <v>228</v>
      </c>
      <c r="E456" s="21">
        <f t="shared" si="389"/>
        <v>456</v>
      </c>
      <c r="F456" s="9" t="s">
        <v>127</v>
      </c>
      <c r="G456" s="21">
        <v>6</v>
      </c>
      <c r="M456" s="21">
        <f t="shared" ref="M456" si="434">C455*G456</f>
        <v>648</v>
      </c>
    </row>
    <row r="457" spans="1:13">
      <c r="E457" s="21">
        <f t="shared" si="389"/>
        <v>457</v>
      </c>
      <c r="F457" s="9" t="s">
        <v>143</v>
      </c>
      <c r="M457" s="21">
        <v>180012</v>
      </c>
    </row>
    <row r="458" spans="1:13">
      <c r="E458" s="21">
        <f t="shared" si="389"/>
        <v>458</v>
      </c>
      <c r="F458" s="9" t="s">
        <v>127</v>
      </c>
      <c r="G458" s="21">
        <v>6</v>
      </c>
      <c r="M458" s="21">
        <f t="shared" ref="M458" si="435">M456</f>
        <v>648</v>
      </c>
    </row>
    <row r="459" spans="1:13">
      <c r="B459" s="21">
        <f t="shared" ref="B459" si="436">QUOTIENT( D459-1,$G$20)+1</f>
        <v>1</v>
      </c>
      <c r="C459" s="21">
        <f t="shared" ref="C459" si="437">D459-(B459-1)*$G$20</f>
        <v>109</v>
      </c>
      <c r="D459" s="21">
        <f>COUNT($D$26:$D458)+1</f>
        <v>109</v>
      </c>
      <c r="E459" s="21">
        <f t="shared" si="389"/>
        <v>459</v>
      </c>
      <c r="F459" s="9" t="s">
        <v>143</v>
      </c>
      <c r="M459" s="21">
        <v>180011</v>
      </c>
    </row>
    <row r="460" spans="1:13">
      <c r="A460" s="21" t="s">
        <v>228</v>
      </c>
      <c r="E460" s="21">
        <f t="shared" si="389"/>
        <v>460</v>
      </c>
      <c r="F460" s="9" t="s">
        <v>127</v>
      </c>
      <c r="G460" s="21">
        <v>6</v>
      </c>
      <c r="M460" s="21">
        <f t="shared" ref="M460" si="438">C459*G460</f>
        <v>654</v>
      </c>
    </row>
    <row r="461" spans="1:13">
      <c r="E461" s="21">
        <f t="shared" si="389"/>
        <v>461</v>
      </c>
      <c r="F461" s="9" t="s">
        <v>143</v>
      </c>
      <c r="M461" s="21">
        <v>180012</v>
      </c>
    </row>
    <row r="462" spans="1:13">
      <c r="E462" s="21">
        <f t="shared" si="389"/>
        <v>462</v>
      </c>
      <c r="F462" s="9" t="s">
        <v>127</v>
      </c>
      <c r="G462" s="21">
        <v>6</v>
      </c>
      <c r="M462" s="21">
        <f t="shared" ref="M462" si="439">M460</f>
        <v>654</v>
      </c>
    </row>
    <row r="463" spans="1:13">
      <c r="B463" s="21">
        <f t="shared" ref="B463" si="440">QUOTIENT( D463-1,$G$20)+1</f>
        <v>1</v>
      </c>
      <c r="C463" s="21">
        <f t="shared" ref="C463" si="441">D463-(B463-1)*$G$20</f>
        <v>110</v>
      </c>
      <c r="D463" s="21">
        <f>COUNT($D$26:$D462)+1</f>
        <v>110</v>
      </c>
      <c r="E463" s="21">
        <f t="shared" si="389"/>
        <v>463</v>
      </c>
      <c r="F463" s="9" t="s">
        <v>143</v>
      </c>
      <c r="M463" s="21">
        <v>180011</v>
      </c>
    </row>
    <row r="464" spans="1:13">
      <c r="A464" s="21" t="s">
        <v>228</v>
      </c>
      <c r="E464" s="21">
        <f t="shared" si="389"/>
        <v>464</v>
      </c>
      <c r="F464" s="9" t="s">
        <v>127</v>
      </c>
      <c r="G464" s="21">
        <v>6</v>
      </c>
      <c r="M464" s="21">
        <f t="shared" ref="M464" si="442">C463*G464</f>
        <v>660</v>
      </c>
    </row>
    <row r="465" spans="1:13">
      <c r="E465" s="21">
        <f t="shared" si="389"/>
        <v>465</v>
      </c>
      <c r="F465" s="9" t="s">
        <v>143</v>
      </c>
      <c r="M465" s="21">
        <v>180012</v>
      </c>
    </row>
    <row r="466" spans="1:13">
      <c r="E466" s="21">
        <f t="shared" si="389"/>
        <v>466</v>
      </c>
      <c r="F466" s="9" t="s">
        <v>127</v>
      </c>
      <c r="G466" s="21">
        <v>6</v>
      </c>
      <c r="M466" s="21">
        <f t="shared" ref="M466" si="443">M464</f>
        <v>660</v>
      </c>
    </row>
    <row r="467" spans="1:13">
      <c r="B467" s="21">
        <f t="shared" ref="B467" si="444">QUOTIENT( D467-1,$G$20)+1</f>
        <v>1</v>
      </c>
      <c r="C467" s="21">
        <f t="shared" ref="C467" si="445">D467-(B467-1)*$G$20</f>
        <v>111</v>
      </c>
      <c r="D467" s="21">
        <f>COUNT($D$26:$D466)+1</f>
        <v>111</v>
      </c>
      <c r="E467" s="21">
        <f t="shared" si="389"/>
        <v>467</v>
      </c>
      <c r="F467" s="9" t="s">
        <v>143</v>
      </c>
      <c r="M467" s="21">
        <v>180011</v>
      </c>
    </row>
    <row r="468" spans="1:13">
      <c r="A468" s="21" t="s">
        <v>228</v>
      </c>
      <c r="E468" s="21">
        <f t="shared" si="389"/>
        <v>468</v>
      </c>
      <c r="F468" s="9" t="s">
        <v>127</v>
      </c>
      <c r="G468" s="21">
        <v>6</v>
      </c>
      <c r="M468" s="21">
        <f t="shared" ref="M468" si="446">C467*G468</f>
        <v>666</v>
      </c>
    </row>
    <row r="469" spans="1:13">
      <c r="E469" s="21">
        <f t="shared" si="389"/>
        <v>469</v>
      </c>
      <c r="F469" s="9" t="s">
        <v>143</v>
      </c>
      <c r="M469" s="21">
        <v>180012</v>
      </c>
    </row>
    <row r="470" spans="1:13">
      <c r="E470" s="21">
        <f t="shared" si="389"/>
        <v>470</v>
      </c>
      <c r="F470" s="9" t="s">
        <v>127</v>
      </c>
      <c r="G470" s="21">
        <v>6</v>
      </c>
      <c r="M470" s="21">
        <f t="shared" ref="M470" si="447">M468</f>
        <v>666</v>
      </c>
    </row>
    <row r="471" spans="1:13">
      <c r="B471" s="21">
        <f t="shared" ref="B471" si="448">QUOTIENT( D471-1,$G$20)+1</f>
        <v>1</v>
      </c>
      <c r="C471" s="21">
        <f t="shared" ref="C471" si="449">D471-(B471-1)*$G$20</f>
        <v>112</v>
      </c>
      <c r="D471" s="21">
        <f>COUNT($D$26:$D470)+1</f>
        <v>112</v>
      </c>
      <c r="E471" s="21">
        <f t="shared" si="389"/>
        <v>471</v>
      </c>
      <c r="F471" s="9" t="s">
        <v>143</v>
      </c>
      <c r="M471" s="21">
        <v>180011</v>
      </c>
    </row>
    <row r="472" spans="1:13">
      <c r="A472" s="21" t="s">
        <v>228</v>
      </c>
      <c r="E472" s="21">
        <f t="shared" si="389"/>
        <v>472</v>
      </c>
      <c r="F472" s="9" t="s">
        <v>127</v>
      </c>
      <c r="G472" s="21">
        <v>6</v>
      </c>
      <c r="M472" s="21">
        <f t="shared" ref="M472" si="450">C471*G472</f>
        <v>672</v>
      </c>
    </row>
    <row r="473" spans="1:13">
      <c r="E473" s="21">
        <f t="shared" si="389"/>
        <v>473</v>
      </c>
      <c r="F473" s="9" t="s">
        <v>143</v>
      </c>
      <c r="M473" s="21">
        <v>180012</v>
      </c>
    </row>
    <row r="474" spans="1:13">
      <c r="E474" s="21">
        <f t="shared" si="389"/>
        <v>474</v>
      </c>
      <c r="F474" s="9" t="s">
        <v>127</v>
      </c>
      <c r="G474" s="21">
        <v>6</v>
      </c>
      <c r="M474" s="21">
        <f t="shared" ref="M474" si="451">M472</f>
        <v>672</v>
      </c>
    </row>
    <row r="475" spans="1:13">
      <c r="B475" s="21">
        <f t="shared" ref="B475" si="452">QUOTIENT( D475-1,$G$20)+1</f>
        <v>1</v>
      </c>
      <c r="C475" s="21">
        <f t="shared" ref="C475" si="453">D475-(B475-1)*$G$20</f>
        <v>113</v>
      </c>
      <c r="D475" s="21">
        <f>COUNT($D$26:$D474)+1</f>
        <v>113</v>
      </c>
      <c r="E475" s="21">
        <f t="shared" ref="E475:E538" si="454">ROW(E475)</f>
        <v>475</v>
      </c>
      <c r="F475" s="9" t="s">
        <v>143</v>
      </c>
      <c r="M475" s="21">
        <v>180011</v>
      </c>
    </row>
    <row r="476" spans="1:13">
      <c r="A476" s="21" t="s">
        <v>228</v>
      </c>
      <c r="E476" s="21">
        <f t="shared" si="454"/>
        <v>476</v>
      </c>
      <c r="F476" s="9" t="s">
        <v>127</v>
      </c>
      <c r="G476" s="21">
        <v>6</v>
      </c>
      <c r="M476" s="21">
        <f t="shared" ref="M476" si="455">C475*G476</f>
        <v>678</v>
      </c>
    </row>
    <row r="477" spans="1:13">
      <c r="E477" s="21">
        <f t="shared" si="454"/>
        <v>477</v>
      </c>
      <c r="F477" s="9" t="s">
        <v>143</v>
      </c>
      <c r="M477" s="21">
        <v>180012</v>
      </c>
    </row>
    <row r="478" spans="1:13">
      <c r="E478" s="21">
        <f t="shared" si="454"/>
        <v>478</v>
      </c>
      <c r="F478" s="9" t="s">
        <v>127</v>
      </c>
      <c r="G478" s="21">
        <v>6</v>
      </c>
      <c r="M478" s="21">
        <f t="shared" ref="M478" si="456">M476</f>
        <v>678</v>
      </c>
    </row>
    <row r="479" spans="1:13">
      <c r="B479" s="21">
        <f t="shared" ref="B479" si="457">QUOTIENT( D479-1,$G$20)+1</f>
        <v>1</v>
      </c>
      <c r="C479" s="21">
        <f t="shared" ref="C479" si="458">D479-(B479-1)*$G$20</f>
        <v>114</v>
      </c>
      <c r="D479" s="21">
        <f>COUNT($D$26:$D478)+1</f>
        <v>114</v>
      </c>
      <c r="E479" s="21">
        <f t="shared" si="454"/>
        <v>479</v>
      </c>
      <c r="F479" s="9" t="s">
        <v>143</v>
      </c>
      <c r="M479" s="21">
        <v>180011</v>
      </c>
    </row>
    <row r="480" spans="1:13">
      <c r="A480" s="21" t="s">
        <v>228</v>
      </c>
      <c r="E480" s="21">
        <f t="shared" si="454"/>
        <v>480</v>
      </c>
      <c r="F480" s="9" t="s">
        <v>127</v>
      </c>
      <c r="G480" s="21">
        <v>6</v>
      </c>
      <c r="M480" s="21">
        <f t="shared" ref="M480" si="459">C479*G480</f>
        <v>684</v>
      </c>
    </row>
    <row r="481" spans="1:13">
      <c r="E481" s="21">
        <f t="shared" si="454"/>
        <v>481</v>
      </c>
      <c r="F481" s="9" t="s">
        <v>143</v>
      </c>
      <c r="M481" s="21">
        <v>180012</v>
      </c>
    </row>
    <row r="482" spans="1:13">
      <c r="E482" s="21">
        <f t="shared" si="454"/>
        <v>482</v>
      </c>
      <c r="F482" s="9" t="s">
        <v>127</v>
      </c>
      <c r="G482" s="21">
        <v>6</v>
      </c>
      <c r="M482" s="21">
        <f t="shared" ref="M482" si="460">M480</f>
        <v>684</v>
      </c>
    </row>
    <row r="483" spans="1:13">
      <c r="B483" s="21">
        <f t="shared" ref="B483" si="461">QUOTIENT( D483-1,$G$20)+1</f>
        <v>1</v>
      </c>
      <c r="C483" s="21">
        <f t="shared" ref="C483" si="462">D483-(B483-1)*$G$20</f>
        <v>115</v>
      </c>
      <c r="D483" s="21">
        <f>COUNT($D$26:$D482)+1</f>
        <v>115</v>
      </c>
      <c r="E483" s="21">
        <f t="shared" si="454"/>
        <v>483</v>
      </c>
      <c r="F483" s="9" t="s">
        <v>143</v>
      </c>
      <c r="M483" s="21">
        <v>180011</v>
      </c>
    </row>
    <row r="484" spans="1:13">
      <c r="A484" s="21" t="s">
        <v>228</v>
      </c>
      <c r="E484" s="21">
        <f t="shared" si="454"/>
        <v>484</v>
      </c>
      <c r="F484" s="9" t="s">
        <v>127</v>
      </c>
      <c r="G484" s="21">
        <v>6</v>
      </c>
      <c r="M484" s="21">
        <f t="shared" ref="M484" si="463">C483*G484</f>
        <v>690</v>
      </c>
    </row>
    <row r="485" spans="1:13">
      <c r="E485" s="21">
        <f t="shared" si="454"/>
        <v>485</v>
      </c>
      <c r="F485" s="9" t="s">
        <v>143</v>
      </c>
      <c r="M485" s="21">
        <v>180012</v>
      </c>
    </row>
    <row r="486" spans="1:13">
      <c r="E486" s="21">
        <f t="shared" si="454"/>
        <v>486</v>
      </c>
      <c r="F486" s="9" t="s">
        <v>127</v>
      </c>
      <c r="G486" s="21">
        <v>6</v>
      </c>
      <c r="M486" s="21">
        <f t="shared" ref="M486" si="464">M484</f>
        <v>690</v>
      </c>
    </row>
    <row r="487" spans="1:13">
      <c r="B487" s="21">
        <f t="shared" ref="B487" si="465">QUOTIENT( D487-1,$G$20)+1</f>
        <v>1</v>
      </c>
      <c r="C487" s="21">
        <f t="shared" ref="C487" si="466">D487-(B487-1)*$G$20</f>
        <v>116</v>
      </c>
      <c r="D487" s="21">
        <f>COUNT($D$26:$D486)+1</f>
        <v>116</v>
      </c>
      <c r="E487" s="21">
        <f t="shared" si="454"/>
        <v>487</v>
      </c>
      <c r="F487" s="9" t="s">
        <v>143</v>
      </c>
      <c r="M487" s="21">
        <v>180011</v>
      </c>
    </row>
    <row r="488" spans="1:13">
      <c r="A488" s="21" t="s">
        <v>228</v>
      </c>
      <c r="E488" s="21">
        <f t="shared" si="454"/>
        <v>488</v>
      </c>
      <c r="F488" s="9" t="s">
        <v>127</v>
      </c>
      <c r="G488" s="21">
        <v>6</v>
      </c>
      <c r="M488" s="21">
        <f t="shared" ref="M488" si="467">C487*G488</f>
        <v>696</v>
      </c>
    </row>
    <row r="489" spans="1:13">
      <c r="E489" s="21">
        <f t="shared" si="454"/>
        <v>489</v>
      </c>
      <c r="F489" s="9" t="s">
        <v>143</v>
      </c>
      <c r="M489" s="21">
        <v>180012</v>
      </c>
    </row>
    <row r="490" spans="1:13">
      <c r="E490" s="21">
        <f t="shared" si="454"/>
        <v>490</v>
      </c>
      <c r="F490" s="9" t="s">
        <v>127</v>
      </c>
      <c r="G490" s="21">
        <v>6</v>
      </c>
      <c r="M490" s="21">
        <f t="shared" ref="M490" si="468">M488</f>
        <v>696</v>
      </c>
    </row>
    <row r="491" spans="1:13">
      <c r="B491" s="21">
        <f t="shared" ref="B491" si="469">QUOTIENT( D491-1,$G$20)+1</f>
        <v>1</v>
      </c>
      <c r="C491" s="21">
        <f t="shared" ref="C491" si="470">D491-(B491-1)*$G$20</f>
        <v>117</v>
      </c>
      <c r="D491" s="21">
        <f>COUNT($D$26:$D490)+1</f>
        <v>117</v>
      </c>
      <c r="E491" s="21">
        <f t="shared" si="454"/>
        <v>491</v>
      </c>
      <c r="F491" s="9" t="s">
        <v>143</v>
      </c>
      <c r="M491" s="21">
        <v>180011</v>
      </c>
    </row>
    <row r="492" spans="1:13">
      <c r="A492" s="21" t="s">
        <v>228</v>
      </c>
      <c r="E492" s="21">
        <f t="shared" si="454"/>
        <v>492</v>
      </c>
      <c r="F492" s="9" t="s">
        <v>127</v>
      </c>
      <c r="G492" s="21">
        <v>6</v>
      </c>
      <c r="M492" s="21">
        <f t="shared" ref="M492" si="471">C491*G492</f>
        <v>702</v>
      </c>
    </row>
    <row r="493" spans="1:13">
      <c r="E493" s="21">
        <f t="shared" si="454"/>
        <v>493</v>
      </c>
      <c r="F493" s="9" t="s">
        <v>143</v>
      </c>
      <c r="M493" s="21">
        <v>180012</v>
      </c>
    </row>
    <row r="494" spans="1:13">
      <c r="E494" s="21">
        <f t="shared" si="454"/>
        <v>494</v>
      </c>
      <c r="F494" s="9" t="s">
        <v>127</v>
      </c>
      <c r="G494" s="21">
        <v>6</v>
      </c>
      <c r="M494" s="21">
        <f t="shared" ref="M494" si="472">M492</f>
        <v>702</v>
      </c>
    </row>
    <row r="495" spans="1:13">
      <c r="B495" s="21">
        <f t="shared" ref="B495" si="473">QUOTIENT( D495-1,$G$20)+1</f>
        <v>1</v>
      </c>
      <c r="C495" s="21">
        <f t="shared" ref="C495" si="474">D495-(B495-1)*$G$20</f>
        <v>118</v>
      </c>
      <c r="D495" s="21">
        <f>COUNT($D$26:$D494)+1</f>
        <v>118</v>
      </c>
      <c r="E495" s="21">
        <f t="shared" si="454"/>
        <v>495</v>
      </c>
      <c r="F495" s="9" t="s">
        <v>143</v>
      </c>
      <c r="M495" s="21">
        <v>180011</v>
      </c>
    </row>
    <row r="496" spans="1:13">
      <c r="A496" s="21" t="s">
        <v>228</v>
      </c>
      <c r="E496" s="21">
        <f t="shared" si="454"/>
        <v>496</v>
      </c>
      <c r="F496" s="9" t="s">
        <v>127</v>
      </c>
      <c r="G496" s="21">
        <v>6</v>
      </c>
      <c r="M496" s="21">
        <f t="shared" ref="M496" si="475">C495*G496</f>
        <v>708</v>
      </c>
    </row>
    <row r="497" spans="1:13">
      <c r="E497" s="21">
        <f t="shared" si="454"/>
        <v>497</v>
      </c>
      <c r="F497" s="9" t="s">
        <v>143</v>
      </c>
      <c r="M497" s="21">
        <v>180012</v>
      </c>
    </row>
    <row r="498" spans="1:13">
      <c r="E498" s="21">
        <f t="shared" si="454"/>
        <v>498</v>
      </c>
      <c r="F498" s="9" t="s">
        <v>127</v>
      </c>
      <c r="G498" s="21">
        <v>6</v>
      </c>
      <c r="M498" s="21">
        <f t="shared" ref="M498" si="476">M496</f>
        <v>708</v>
      </c>
    </row>
    <row r="499" spans="1:13">
      <c r="B499" s="21">
        <f t="shared" ref="B499" si="477">QUOTIENT( D499-1,$G$20)+1</f>
        <v>1</v>
      </c>
      <c r="C499" s="21">
        <f t="shared" ref="C499" si="478">D499-(B499-1)*$G$20</f>
        <v>119</v>
      </c>
      <c r="D499" s="21">
        <f>COUNT($D$26:$D498)+1</f>
        <v>119</v>
      </c>
      <c r="E499" s="21">
        <f t="shared" si="454"/>
        <v>499</v>
      </c>
      <c r="F499" s="9" t="s">
        <v>143</v>
      </c>
      <c r="M499" s="21">
        <v>180011</v>
      </c>
    </row>
    <row r="500" spans="1:13">
      <c r="A500" s="21" t="s">
        <v>228</v>
      </c>
      <c r="E500" s="21">
        <f t="shared" si="454"/>
        <v>500</v>
      </c>
      <c r="F500" s="9" t="s">
        <v>127</v>
      </c>
      <c r="G500" s="21">
        <v>6</v>
      </c>
      <c r="M500" s="21">
        <f t="shared" ref="M500" si="479">C499*G500</f>
        <v>714</v>
      </c>
    </row>
    <row r="501" spans="1:13">
      <c r="E501" s="21">
        <f t="shared" si="454"/>
        <v>501</v>
      </c>
      <c r="F501" s="9" t="s">
        <v>143</v>
      </c>
      <c r="M501" s="21">
        <v>180012</v>
      </c>
    </row>
    <row r="502" spans="1:13">
      <c r="E502" s="21">
        <f t="shared" si="454"/>
        <v>502</v>
      </c>
      <c r="F502" s="9" t="s">
        <v>127</v>
      </c>
      <c r="G502" s="21">
        <v>6</v>
      </c>
      <c r="M502" s="21">
        <f t="shared" ref="M502" si="480">M500</f>
        <v>714</v>
      </c>
    </row>
    <row r="503" spans="1:13">
      <c r="B503" s="21">
        <f t="shared" ref="B503" si="481">QUOTIENT( D503-1,$G$20)+1</f>
        <v>1</v>
      </c>
      <c r="C503" s="21">
        <f t="shared" ref="C503" si="482">D503-(B503-1)*$G$20</f>
        <v>120</v>
      </c>
      <c r="D503" s="21">
        <f>COUNT($D$26:$D502)+1</f>
        <v>120</v>
      </c>
      <c r="E503" s="21">
        <f t="shared" si="454"/>
        <v>503</v>
      </c>
      <c r="F503" s="9" t="s">
        <v>143</v>
      </c>
      <c r="M503" s="21">
        <v>180011</v>
      </c>
    </row>
    <row r="504" spans="1:13">
      <c r="A504" s="21" t="s">
        <v>228</v>
      </c>
      <c r="E504" s="21">
        <f t="shared" si="454"/>
        <v>504</v>
      </c>
      <c r="F504" s="9" t="s">
        <v>127</v>
      </c>
      <c r="G504" s="21">
        <v>6</v>
      </c>
      <c r="M504" s="21">
        <f t="shared" ref="M504" si="483">C503*G504</f>
        <v>720</v>
      </c>
    </row>
    <row r="505" spans="1:13">
      <c r="E505" s="21">
        <f t="shared" si="454"/>
        <v>505</v>
      </c>
      <c r="F505" s="9" t="s">
        <v>143</v>
      </c>
      <c r="M505" s="21">
        <v>180012</v>
      </c>
    </row>
    <row r="506" spans="1:13">
      <c r="E506" s="21">
        <f t="shared" si="454"/>
        <v>506</v>
      </c>
      <c r="F506" s="9" t="s">
        <v>127</v>
      </c>
      <c r="G506" s="21">
        <v>6</v>
      </c>
      <c r="M506" s="21">
        <f t="shared" ref="M506" si="484">M504</f>
        <v>720</v>
      </c>
    </row>
    <row r="507" spans="1:13">
      <c r="B507" s="21">
        <f t="shared" ref="B507" si="485">QUOTIENT( D507-1,$G$20)+1</f>
        <v>1</v>
      </c>
      <c r="C507" s="21">
        <f t="shared" ref="C507" si="486">D507-(B507-1)*$G$20</f>
        <v>121</v>
      </c>
      <c r="D507" s="21">
        <f>COUNT($D$26:$D506)+1</f>
        <v>121</v>
      </c>
      <c r="E507" s="21">
        <f t="shared" si="454"/>
        <v>507</v>
      </c>
      <c r="F507" s="9" t="s">
        <v>143</v>
      </c>
      <c r="M507" s="21">
        <v>180011</v>
      </c>
    </row>
    <row r="508" spans="1:13">
      <c r="A508" s="21" t="s">
        <v>228</v>
      </c>
      <c r="E508" s="21">
        <f t="shared" si="454"/>
        <v>508</v>
      </c>
      <c r="F508" s="9" t="s">
        <v>127</v>
      </c>
      <c r="G508" s="21">
        <v>6</v>
      </c>
      <c r="M508" s="21">
        <f t="shared" ref="M508" si="487">C507*G508</f>
        <v>726</v>
      </c>
    </row>
    <row r="509" spans="1:13">
      <c r="E509" s="21">
        <f t="shared" si="454"/>
        <v>509</v>
      </c>
      <c r="F509" s="9" t="s">
        <v>143</v>
      </c>
      <c r="M509" s="21">
        <v>180012</v>
      </c>
    </row>
    <row r="510" spans="1:13">
      <c r="E510" s="21">
        <f t="shared" si="454"/>
        <v>510</v>
      </c>
      <c r="F510" s="9" t="s">
        <v>127</v>
      </c>
      <c r="G510" s="21">
        <v>6</v>
      </c>
      <c r="M510" s="21">
        <f t="shared" ref="M510" si="488">M508</f>
        <v>726</v>
      </c>
    </row>
    <row r="511" spans="1:13">
      <c r="B511" s="21">
        <f t="shared" ref="B511" si="489">QUOTIENT( D511-1,$G$20)+1</f>
        <v>1</v>
      </c>
      <c r="C511" s="21">
        <f t="shared" ref="C511" si="490">D511-(B511-1)*$G$20</f>
        <v>122</v>
      </c>
      <c r="D511" s="21">
        <f>COUNT($D$26:$D510)+1</f>
        <v>122</v>
      </c>
      <c r="E511" s="21">
        <f t="shared" si="454"/>
        <v>511</v>
      </c>
      <c r="F511" s="9" t="s">
        <v>143</v>
      </c>
      <c r="M511" s="21">
        <v>180011</v>
      </c>
    </row>
    <row r="512" spans="1:13">
      <c r="A512" s="21" t="s">
        <v>228</v>
      </c>
      <c r="E512" s="21">
        <f t="shared" si="454"/>
        <v>512</v>
      </c>
      <c r="F512" s="9" t="s">
        <v>127</v>
      </c>
      <c r="G512" s="21">
        <v>6</v>
      </c>
      <c r="M512" s="21">
        <f t="shared" ref="M512" si="491">C511*G512</f>
        <v>732</v>
      </c>
    </row>
    <row r="513" spans="1:13">
      <c r="E513" s="21">
        <f t="shared" si="454"/>
        <v>513</v>
      </c>
      <c r="F513" s="9" t="s">
        <v>143</v>
      </c>
      <c r="M513" s="21">
        <v>180012</v>
      </c>
    </row>
    <row r="514" spans="1:13">
      <c r="E514" s="21">
        <f t="shared" si="454"/>
        <v>514</v>
      </c>
      <c r="F514" s="9" t="s">
        <v>127</v>
      </c>
      <c r="G514" s="21">
        <v>6</v>
      </c>
      <c r="M514" s="21">
        <f t="shared" ref="M514" si="492">M512</f>
        <v>732</v>
      </c>
    </row>
    <row r="515" spans="1:13">
      <c r="B515" s="21">
        <f t="shared" ref="B515" si="493">QUOTIENT( D515-1,$G$20)+1</f>
        <v>1</v>
      </c>
      <c r="C515" s="21">
        <f t="shared" ref="C515" si="494">D515-(B515-1)*$G$20</f>
        <v>123</v>
      </c>
      <c r="D515" s="21">
        <f>COUNT($D$26:$D514)+1</f>
        <v>123</v>
      </c>
      <c r="E515" s="21">
        <f t="shared" si="454"/>
        <v>515</v>
      </c>
      <c r="F515" s="9" t="s">
        <v>143</v>
      </c>
      <c r="M515" s="21">
        <v>180011</v>
      </c>
    </row>
    <row r="516" spans="1:13">
      <c r="A516" s="21" t="s">
        <v>228</v>
      </c>
      <c r="E516" s="21">
        <f t="shared" si="454"/>
        <v>516</v>
      </c>
      <c r="F516" s="9" t="s">
        <v>127</v>
      </c>
      <c r="G516" s="21">
        <v>6</v>
      </c>
      <c r="M516" s="21">
        <f t="shared" ref="M516" si="495">C515*G516</f>
        <v>738</v>
      </c>
    </row>
    <row r="517" spans="1:13">
      <c r="E517" s="21">
        <f t="shared" si="454"/>
        <v>517</v>
      </c>
      <c r="F517" s="9" t="s">
        <v>143</v>
      </c>
      <c r="M517" s="21">
        <v>180012</v>
      </c>
    </row>
    <row r="518" spans="1:13">
      <c r="E518" s="21">
        <f t="shared" si="454"/>
        <v>518</v>
      </c>
      <c r="F518" s="9" t="s">
        <v>127</v>
      </c>
      <c r="G518" s="21">
        <v>6</v>
      </c>
      <c r="M518" s="21">
        <f t="shared" ref="M518" si="496">M516</f>
        <v>738</v>
      </c>
    </row>
    <row r="519" spans="1:13">
      <c r="B519" s="21">
        <f t="shared" ref="B519" si="497">QUOTIENT( D519-1,$G$20)+1</f>
        <v>1</v>
      </c>
      <c r="C519" s="21">
        <f t="shared" ref="C519" si="498">D519-(B519-1)*$G$20</f>
        <v>124</v>
      </c>
      <c r="D519" s="21">
        <f>COUNT($D$26:$D518)+1</f>
        <v>124</v>
      </c>
      <c r="E519" s="21">
        <f t="shared" si="454"/>
        <v>519</v>
      </c>
      <c r="F519" s="9" t="s">
        <v>143</v>
      </c>
      <c r="M519" s="21">
        <v>180011</v>
      </c>
    </row>
    <row r="520" spans="1:13">
      <c r="A520" s="21" t="s">
        <v>228</v>
      </c>
      <c r="E520" s="21">
        <f t="shared" si="454"/>
        <v>520</v>
      </c>
      <c r="F520" s="9" t="s">
        <v>127</v>
      </c>
      <c r="G520" s="21">
        <v>6</v>
      </c>
      <c r="M520" s="21">
        <f t="shared" ref="M520" si="499">C519*G520</f>
        <v>744</v>
      </c>
    </row>
    <row r="521" spans="1:13">
      <c r="E521" s="21">
        <f t="shared" si="454"/>
        <v>521</v>
      </c>
      <c r="F521" s="9" t="s">
        <v>143</v>
      </c>
      <c r="M521" s="21">
        <v>180012</v>
      </c>
    </row>
    <row r="522" spans="1:13">
      <c r="E522" s="21">
        <f t="shared" si="454"/>
        <v>522</v>
      </c>
      <c r="F522" s="9" t="s">
        <v>127</v>
      </c>
      <c r="G522" s="21">
        <v>6</v>
      </c>
      <c r="M522" s="21">
        <f t="shared" ref="M522" si="500">M520</f>
        <v>744</v>
      </c>
    </row>
    <row r="523" spans="1:13">
      <c r="B523" s="21">
        <f t="shared" ref="B523" si="501">QUOTIENT( D523-1,$G$20)+1</f>
        <v>1</v>
      </c>
      <c r="C523" s="21">
        <f t="shared" ref="C523" si="502">D523-(B523-1)*$G$20</f>
        <v>125</v>
      </c>
      <c r="D523" s="21">
        <f>COUNT($D$26:$D522)+1</f>
        <v>125</v>
      </c>
      <c r="E523" s="21">
        <f t="shared" si="454"/>
        <v>523</v>
      </c>
      <c r="F523" s="9" t="s">
        <v>143</v>
      </c>
      <c r="M523" s="21">
        <v>180011</v>
      </c>
    </row>
    <row r="524" spans="1:13">
      <c r="A524" s="21" t="s">
        <v>228</v>
      </c>
      <c r="E524" s="21">
        <f t="shared" si="454"/>
        <v>524</v>
      </c>
      <c r="F524" s="9" t="s">
        <v>127</v>
      </c>
      <c r="G524" s="21">
        <v>6</v>
      </c>
      <c r="M524" s="21">
        <f t="shared" ref="M524" si="503">C523*G524</f>
        <v>750</v>
      </c>
    </row>
    <row r="525" spans="1:13">
      <c r="E525" s="21">
        <f t="shared" si="454"/>
        <v>525</v>
      </c>
      <c r="F525" s="9" t="s">
        <v>143</v>
      </c>
      <c r="M525" s="21">
        <v>180012</v>
      </c>
    </row>
    <row r="526" spans="1:13">
      <c r="E526" s="21">
        <f t="shared" si="454"/>
        <v>526</v>
      </c>
      <c r="F526" s="9" t="s">
        <v>127</v>
      </c>
      <c r="G526" s="21">
        <v>6</v>
      </c>
      <c r="M526" s="21">
        <f t="shared" ref="M526" si="504">M524</f>
        <v>750</v>
      </c>
    </row>
    <row r="527" spans="1:13">
      <c r="B527" s="21">
        <f t="shared" ref="B527" si="505">QUOTIENT( D527-1,$G$20)+1</f>
        <v>1</v>
      </c>
      <c r="C527" s="21">
        <f t="shared" ref="C527" si="506">D527-(B527-1)*$G$20</f>
        <v>126</v>
      </c>
      <c r="D527" s="21">
        <f>COUNT($D$26:$D526)+1</f>
        <v>126</v>
      </c>
      <c r="E527" s="21">
        <f t="shared" si="454"/>
        <v>527</v>
      </c>
      <c r="F527" s="9" t="s">
        <v>143</v>
      </c>
      <c r="M527" s="21">
        <v>180011</v>
      </c>
    </row>
    <row r="528" spans="1:13">
      <c r="A528" s="21" t="s">
        <v>228</v>
      </c>
      <c r="E528" s="21">
        <f t="shared" si="454"/>
        <v>528</v>
      </c>
      <c r="F528" s="9" t="s">
        <v>127</v>
      </c>
      <c r="G528" s="21">
        <v>6</v>
      </c>
      <c r="M528" s="21">
        <f t="shared" ref="M528" si="507">C527*G528</f>
        <v>756</v>
      </c>
    </row>
    <row r="529" spans="1:13">
      <c r="E529" s="21">
        <f t="shared" si="454"/>
        <v>529</v>
      </c>
      <c r="F529" s="9" t="s">
        <v>143</v>
      </c>
      <c r="M529" s="21">
        <v>180012</v>
      </c>
    </row>
    <row r="530" spans="1:13">
      <c r="E530" s="21">
        <f t="shared" si="454"/>
        <v>530</v>
      </c>
      <c r="F530" s="9" t="s">
        <v>127</v>
      </c>
      <c r="G530" s="21">
        <v>6</v>
      </c>
      <c r="M530" s="21">
        <f t="shared" ref="M530" si="508">M528</f>
        <v>756</v>
      </c>
    </row>
    <row r="531" spans="1:13">
      <c r="B531" s="21">
        <f t="shared" ref="B531" si="509">QUOTIENT( D531-1,$G$20)+1</f>
        <v>1</v>
      </c>
      <c r="C531" s="21">
        <f t="shared" ref="C531" si="510">D531-(B531-1)*$G$20</f>
        <v>127</v>
      </c>
      <c r="D531" s="21">
        <f>COUNT($D$26:$D530)+1</f>
        <v>127</v>
      </c>
      <c r="E531" s="21">
        <f t="shared" si="454"/>
        <v>531</v>
      </c>
      <c r="F531" s="9" t="s">
        <v>143</v>
      </c>
      <c r="M531" s="21">
        <v>180011</v>
      </c>
    </row>
    <row r="532" spans="1:13">
      <c r="A532" s="21" t="s">
        <v>228</v>
      </c>
      <c r="E532" s="21">
        <f t="shared" si="454"/>
        <v>532</v>
      </c>
      <c r="F532" s="9" t="s">
        <v>127</v>
      </c>
      <c r="G532" s="21">
        <v>6</v>
      </c>
      <c r="M532" s="21">
        <f t="shared" ref="M532" si="511">C531*G532</f>
        <v>762</v>
      </c>
    </row>
    <row r="533" spans="1:13">
      <c r="E533" s="21">
        <f t="shared" si="454"/>
        <v>533</v>
      </c>
      <c r="F533" s="9" t="s">
        <v>143</v>
      </c>
      <c r="M533" s="21">
        <v>180012</v>
      </c>
    </row>
    <row r="534" spans="1:13">
      <c r="E534" s="21">
        <f t="shared" si="454"/>
        <v>534</v>
      </c>
      <c r="F534" s="9" t="s">
        <v>127</v>
      </c>
      <c r="G534" s="21">
        <v>6</v>
      </c>
      <c r="M534" s="21">
        <f t="shared" ref="M534" si="512">M532</f>
        <v>762</v>
      </c>
    </row>
    <row r="535" spans="1:13">
      <c r="B535" s="21">
        <f t="shared" ref="B535" si="513">QUOTIENT( D535-1,$G$20)+1</f>
        <v>1</v>
      </c>
      <c r="C535" s="21">
        <f t="shared" ref="C535" si="514">D535-(B535-1)*$G$20</f>
        <v>128</v>
      </c>
      <c r="D535" s="21">
        <f>COUNT($D$26:$D534)+1</f>
        <v>128</v>
      </c>
      <c r="E535" s="21">
        <f t="shared" si="454"/>
        <v>535</v>
      </c>
      <c r="F535" s="9" t="s">
        <v>143</v>
      </c>
      <c r="M535" s="21">
        <v>180011</v>
      </c>
    </row>
    <row r="536" spans="1:13">
      <c r="A536" s="21" t="s">
        <v>228</v>
      </c>
      <c r="E536" s="21">
        <f t="shared" si="454"/>
        <v>536</v>
      </c>
      <c r="F536" s="9" t="s">
        <v>127</v>
      </c>
      <c r="G536" s="21">
        <v>6</v>
      </c>
      <c r="M536" s="21">
        <f t="shared" ref="M536" si="515">C535*G536</f>
        <v>768</v>
      </c>
    </row>
    <row r="537" spans="1:13">
      <c r="E537" s="21">
        <f t="shared" si="454"/>
        <v>537</v>
      </c>
      <c r="F537" s="9" t="s">
        <v>143</v>
      </c>
      <c r="M537" s="21">
        <v>180012</v>
      </c>
    </row>
    <row r="538" spans="1:13">
      <c r="E538" s="21">
        <f t="shared" si="454"/>
        <v>538</v>
      </c>
      <c r="F538" s="9" t="s">
        <v>127</v>
      </c>
      <c r="G538" s="21">
        <v>6</v>
      </c>
      <c r="M538" s="21">
        <f t="shared" ref="M538" si="516">M536</f>
        <v>768</v>
      </c>
    </row>
    <row r="539" spans="1:13">
      <c r="B539" s="21">
        <f t="shared" ref="B539" si="517">QUOTIENT( D539-1,$G$20)+1</f>
        <v>1</v>
      </c>
      <c r="C539" s="21">
        <f t="shared" ref="C539" si="518">D539-(B539-1)*$G$20</f>
        <v>129</v>
      </c>
      <c r="D539" s="21">
        <f>COUNT($D$26:$D538)+1</f>
        <v>129</v>
      </c>
      <c r="E539" s="21">
        <f t="shared" ref="E539:E602" si="519">ROW(E539)</f>
        <v>539</v>
      </c>
      <c r="F539" s="9" t="s">
        <v>143</v>
      </c>
      <c r="M539" s="21">
        <v>180011</v>
      </c>
    </row>
    <row r="540" spans="1:13">
      <c r="A540" s="21" t="s">
        <v>228</v>
      </c>
      <c r="E540" s="21">
        <f t="shared" si="519"/>
        <v>540</v>
      </c>
      <c r="F540" s="9" t="s">
        <v>127</v>
      </c>
      <c r="G540" s="21">
        <v>6</v>
      </c>
      <c r="M540" s="21">
        <f t="shared" ref="M540" si="520">C539*G540</f>
        <v>774</v>
      </c>
    </row>
    <row r="541" spans="1:13">
      <c r="E541" s="21">
        <f t="shared" si="519"/>
        <v>541</v>
      </c>
      <c r="F541" s="9" t="s">
        <v>143</v>
      </c>
      <c r="M541" s="21">
        <v>180012</v>
      </c>
    </row>
    <row r="542" spans="1:13">
      <c r="E542" s="21">
        <f t="shared" si="519"/>
        <v>542</v>
      </c>
      <c r="F542" s="9" t="s">
        <v>127</v>
      </c>
      <c r="G542" s="21">
        <v>6</v>
      </c>
      <c r="M542" s="21">
        <f t="shared" ref="M542" si="521">M540</f>
        <v>774</v>
      </c>
    </row>
    <row r="543" spans="1:13">
      <c r="B543" s="21">
        <f t="shared" ref="B543" si="522">QUOTIENT( D543-1,$G$20)+1</f>
        <v>1</v>
      </c>
      <c r="C543" s="21">
        <f t="shared" ref="C543" si="523">D543-(B543-1)*$G$20</f>
        <v>130</v>
      </c>
      <c r="D543" s="21">
        <f>COUNT($D$26:$D542)+1</f>
        <v>130</v>
      </c>
      <c r="E543" s="21">
        <f t="shared" si="519"/>
        <v>543</v>
      </c>
      <c r="F543" s="9" t="s">
        <v>143</v>
      </c>
      <c r="M543" s="21">
        <v>180011</v>
      </c>
    </row>
    <row r="544" spans="1:13">
      <c r="A544" s="21" t="s">
        <v>228</v>
      </c>
      <c r="E544" s="21">
        <f t="shared" si="519"/>
        <v>544</v>
      </c>
      <c r="F544" s="9" t="s">
        <v>127</v>
      </c>
      <c r="G544" s="21">
        <v>6</v>
      </c>
      <c r="M544" s="21">
        <f t="shared" ref="M544" si="524">C543*G544</f>
        <v>780</v>
      </c>
    </row>
    <row r="545" spans="1:13">
      <c r="E545" s="21">
        <f t="shared" si="519"/>
        <v>545</v>
      </c>
      <c r="F545" s="9" t="s">
        <v>143</v>
      </c>
      <c r="M545" s="21">
        <v>180012</v>
      </c>
    </row>
    <row r="546" spans="1:13">
      <c r="E546" s="21">
        <f t="shared" si="519"/>
        <v>546</v>
      </c>
      <c r="F546" s="9" t="s">
        <v>127</v>
      </c>
      <c r="G546" s="21">
        <v>6</v>
      </c>
      <c r="M546" s="21">
        <f t="shared" ref="M546" si="525">M544</f>
        <v>780</v>
      </c>
    </row>
    <row r="547" spans="1:13">
      <c r="B547" s="21">
        <f t="shared" ref="B547" si="526">QUOTIENT( D547-1,$G$20)+1</f>
        <v>1</v>
      </c>
      <c r="C547" s="21">
        <f t="shared" ref="C547" si="527">D547-(B547-1)*$G$20</f>
        <v>131</v>
      </c>
      <c r="D547" s="21">
        <f>COUNT($D$26:$D546)+1</f>
        <v>131</v>
      </c>
      <c r="E547" s="21">
        <f t="shared" si="519"/>
        <v>547</v>
      </c>
      <c r="F547" s="9" t="s">
        <v>143</v>
      </c>
      <c r="M547" s="21">
        <v>180011</v>
      </c>
    </row>
    <row r="548" spans="1:13">
      <c r="A548" s="21" t="s">
        <v>228</v>
      </c>
      <c r="E548" s="21">
        <f t="shared" si="519"/>
        <v>548</v>
      </c>
      <c r="F548" s="9" t="s">
        <v>127</v>
      </c>
      <c r="G548" s="21">
        <v>6</v>
      </c>
      <c r="M548" s="21">
        <f t="shared" ref="M548" si="528">C547*G548</f>
        <v>786</v>
      </c>
    </row>
    <row r="549" spans="1:13">
      <c r="E549" s="21">
        <f t="shared" si="519"/>
        <v>549</v>
      </c>
      <c r="F549" s="9" t="s">
        <v>143</v>
      </c>
      <c r="M549" s="21">
        <v>180012</v>
      </c>
    </row>
    <row r="550" spans="1:13">
      <c r="E550" s="21">
        <f t="shared" si="519"/>
        <v>550</v>
      </c>
      <c r="F550" s="9" t="s">
        <v>127</v>
      </c>
      <c r="G550" s="21">
        <v>6</v>
      </c>
      <c r="M550" s="21">
        <f t="shared" ref="M550" si="529">M548</f>
        <v>786</v>
      </c>
    </row>
    <row r="551" spans="1:13">
      <c r="B551" s="21">
        <f t="shared" ref="B551" si="530">QUOTIENT( D551-1,$G$20)+1</f>
        <v>1</v>
      </c>
      <c r="C551" s="21">
        <f t="shared" ref="C551" si="531">D551-(B551-1)*$G$20</f>
        <v>132</v>
      </c>
      <c r="D551" s="21">
        <f>COUNT($D$26:$D550)+1</f>
        <v>132</v>
      </c>
      <c r="E551" s="21">
        <f t="shared" si="519"/>
        <v>551</v>
      </c>
      <c r="F551" s="9" t="s">
        <v>143</v>
      </c>
      <c r="M551" s="21">
        <v>180011</v>
      </c>
    </row>
    <row r="552" spans="1:13">
      <c r="A552" s="21" t="s">
        <v>228</v>
      </c>
      <c r="E552" s="21">
        <f t="shared" si="519"/>
        <v>552</v>
      </c>
      <c r="F552" s="9" t="s">
        <v>127</v>
      </c>
      <c r="G552" s="21">
        <v>6</v>
      </c>
      <c r="M552" s="21">
        <f t="shared" ref="M552" si="532">C551*G552</f>
        <v>792</v>
      </c>
    </row>
    <row r="553" spans="1:13">
      <c r="E553" s="21">
        <f t="shared" si="519"/>
        <v>553</v>
      </c>
      <c r="F553" s="9" t="s">
        <v>143</v>
      </c>
      <c r="M553" s="21">
        <v>180012</v>
      </c>
    </row>
    <row r="554" spans="1:13">
      <c r="E554" s="21">
        <f t="shared" si="519"/>
        <v>554</v>
      </c>
      <c r="F554" s="9" t="s">
        <v>127</v>
      </c>
      <c r="G554" s="21">
        <v>6</v>
      </c>
      <c r="M554" s="21">
        <f t="shared" ref="M554" si="533">M552</f>
        <v>792</v>
      </c>
    </row>
    <row r="555" spans="1:13">
      <c r="B555" s="21">
        <f t="shared" ref="B555" si="534">QUOTIENT( D555-1,$G$20)+1</f>
        <v>1</v>
      </c>
      <c r="C555" s="21">
        <f t="shared" ref="C555" si="535">D555-(B555-1)*$G$20</f>
        <v>133</v>
      </c>
      <c r="D555" s="21">
        <f>COUNT($D$26:$D554)+1</f>
        <v>133</v>
      </c>
      <c r="E555" s="21">
        <f t="shared" si="519"/>
        <v>555</v>
      </c>
      <c r="F555" s="9" t="s">
        <v>143</v>
      </c>
      <c r="M555" s="21">
        <v>180011</v>
      </c>
    </row>
    <row r="556" spans="1:13">
      <c r="A556" s="21" t="s">
        <v>228</v>
      </c>
      <c r="E556" s="21">
        <f t="shared" si="519"/>
        <v>556</v>
      </c>
      <c r="F556" s="9" t="s">
        <v>127</v>
      </c>
      <c r="G556" s="21">
        <v>6</v>
      </c>
      <c r="M556" s="21">
        <f t="shared" ref="M556" si="536">C555*G556</f>
        <v>798</v>
      </c>
    </row>
    <row r="557" spans="1:13">
      <c r="E557" s="21">
        <f t="shared" si="519"/>
        <v>557</v>
      </c>
      <c r="F557" s="9" t="s">
        <v>143</v>
      </c>
      <c r="M557" s="21">
        <v>180012</v>
      </c>
    </row>
    <row r="558" spans="1:13">
      <c r="E558" s="21">
        <f t="shared" si="519"/>
        <v>558</v>
      </c>
      <c r="F558" s="9" t="s">
        <v>127</v>
      </c>
      <c r="G558" s="21">
        <v>6</v>
      </c>
      <c r="M558" s="21">
        <f t="shared" ref="M558" si="537">M556</f>
        <v>798</v>
      </c>
    </row>
    <row r="559" spans="1:13">
      <c r="B559" s="21">
        <f t="shared" ref="B559" si="538">QUOTIENT( D559-1,$G$20)+1</f>
        <v>1</v>
      </c>
      <c r="C559" s="21">
        <f t="shared" ref="C559" si="539">D559-(B559-1)*$G$20</f>
        <v>134</v>
      </c>
      <c r="D559" s="21">
        <f>COUNT($D$26:$D558)+1</f>
        <v>134</v>
      </c>
      <c r="E559" s="21">
        <f t="shared" si="519"/>
        <v>559</v>
      </c>
      <c r="F559" s="9" t="s">
        <v>143</v>
      </c>
      <c r="M559" s="21">
        <v>180011</v>
      </c>
    </row>
    <row r="560" spans="1:13">
      <c r="A560" s="21" t="s">
        <v>228</v>
      </c>
      <c r="E560" s="21">
        <f t="shared" si="519"/>
        <v>560</v>
      </c>
      <c r="F560" s="9" t="s">
        <v>127</v>
      </c>
      <c r="G560" s="21">
        <v>6</v>
      </c>
      <c r="M560" s="21">
        <f t="shared" ref="M560" si="540">C559*G560</f>
        <v>804</v>
      </c>
    </row>
    <row r="561" spans="1:13">
      <c r="E561" s="21">
        <f t="shared" si="519"/>
        <v>561</v>
      </c>
      <c r="F561" s="9" t="s">
        <v>143</v>
      </c>
      <c r="M561" s="21">
        <v>180012</v>
      </c>
    </row>
    <row r="562" spans="1:13">
      <c r="E562" s="21">
        <f t="shared" si="519"/>
        <v>562</v>
      </c>
      <c r="F562" s="9" t="s">
        <v>127</v>
      </c>
      <c r="G562" s="21">
        <v>6</v>
      </c>
      <c r="M562" s="21">
        <f t="shared" ref="M562" si="541">M560</f>
        <v>804</v>
      </c>
    </row>
    <row r="563" spans="1:13">
      <c r="B563" s="21">
        <f t="shared" ref="B563" si="542">QUOTIENT( D563-1,$G$20)+1</f>
        <v>1</v>
      </c>
      <c r="C563" s="21">
        <f t="shared" ref="C563" si="543">D563-(B563-1)*$G$20</f>
        <v>135</v>
      </c>
      <c r="D563" s="21">
        <f>COUNT($D$26:$D562)+1</f>
        <v>135</v>
      </c>
      <c r="E563" s="21">
        <f t="shared" si="519"/>
        <v>563</v>
      </c>
      <c r="F563" s="9" t="s">
        <v>143</v>
      </c>
      <c r="M563" s="21">
        <v>180011</v>
      </c>
    </row>
    <row r="564" spans="1:13">
      <c r="A564" s="21" t="s">
        <v>228</v>
      </c>
      <c r="E564" s="21">
        <f t="shared" si="519"/>
        <v>564</v>
      </c>
      <c r="F564" s="9" t="s">
        <v>127</v>
      </c>
      <c r="G564" s="21">
        <v>6</v>
      </c>
      <c r="M564" s="21">
        <f t="shared" ref="M564" si="544">C563*G564</f>
        <v>810</v>
      </c>
    </row>
    <row r="565" spans="1:13">
      <c r="E565" s="21">
        <f t="shared" si="519"/>
        <v>565</v>
      </c>
      <c r="F565" s="9" t="s">
        <v>143</v>
      </c>
      <c r="M565" s="21">
        <v>180012</v>
      </c>
    </row>
    <row r="566" spans="1:13">
      <c r="E566" s="21">
        <f t="shared" si="519"/>
        <v>566</v>
      </c>
      <c r="F566" s="9" t="s">
        <v>127</v>
      </c>
      <c r="G566" s="21">
        <v>6</v>
      </c>
      <c r="M566" s="21">
        <f t="shared" ref="M566" si="545">M564</f>
        <v>810</v>
      </c>
    </row>
    <row r="567" spans="1:13">
      <c r="B567" s="21">
        <f t="shared" ref="B567" si="546">QUOTIENT( D567-1,$G$20)+1</f>
        <v>1</v>
      </c>
      <c r="C567" s="21">
        <f t="shared" ref="C567" si="547">D567-(B567-1)*$G$20</f>
        <v>136</v>
      </c>
      <c r="D567" s="21">
        <f>COUNT($D$26:$D566)+1</f>
        <v>136</v>
      </c>
      <c r="E567" s="21">
        <f t="shared" si="519"/>
        <v>567</v>
      </c>
      <c r="F567" s="9" t="s">
        <v>143</v>
      </c>
      <c r="M567" s="21">
        <v>180011</v>
      </c>
    </row>
    <row r="568" spans="1:13">
      <c r="A568" s="21" t="s">
        <v>228</v>
      </c>
      <c r="E568" s="21">
        <f t="shared" si="519"/>
        <v>568</v>
      </c>
      <c r="F568" s="9" t="s">
        <v>127</v>
      </c>
      <c r="G568" s="21">
        <v>6</v>
      </c>
      <c r="M568" s="21">
        <f t="shared" ref="M568" si="548">C567*G568</f>
        <v>816</v>
      </c>
    </row>
    <row r="569" spans="1:13">
      <c r="E569" s="21">
        <f t="shared" si="519"/>
        <v>569</v>
      </c>
      <c r="F569" s="9" t="s">
        <v>143</v>
      </c>
      <c r="M569" s="21">
        <v>180012</v>
      </c>
    </row>
    <row r="570" spans="1:13">
      <c r="E570" s="21">
        <f t="shared" si="519"/>
        <v>570</v>
      </c>
      <c r="F570" s="9" t="s">
        <v>127</v>
      </c>
      <c r="G570" s="21">
        <v>6</v>
      </c>
      <c r="M570" s="21">
        <f t="shared" ref="M570" si="549">M568</f>
        <v>816</v>
      </c>
    </row>
    <row r="571" spans="1:13">
      <c r="B571" s="21">
        <f t="shared" ref="B571" si="550">QUOTIENT( D571-1,$G$20)+1</f>
        <v>1</v>
      </c>
      <c r="C571" s="21">
        <f t="shared" ref="C571" si="551">D571-(B571-1)*$G$20</f>
        <v>137</v>
      </c>
      <c r="D571" s="21">
        <f>COUNT($D$26:$D570)+1</f>
        <v>137</v>
      </c>
      <c r="E571" s="21">
        <f t="shared" si="519"/>
        <v>571</v>
      </c>
      <c r="F571" s="9" t="s">
        <v>143</v>
      </c>
      <c r="M571" s="21">
        <v>180011</v>
      </c>
    </row>
    <row r="572" spans="1:13">
      <c r="A572" s="21" t="s">
        <v>228</v>
      </c>
      <c r="E572" s="21">
        <f t="shared" si="519"/>
        <v>572</v>
      </c>
      <c r="F572" s="9" t="s">
        <v>127</v>
      </c>
      <c r="G572" s="21">
        <v>6</v>
      </c>
      <c r="M572" s="21">
        <f t="shared" ref="M572" si="552">C571*G572</f>
        <v>822</v>
      </c>
    </row>
    <row r="573" spans="1:13">
      <c r="E573" s="21">
        <f t="shared" si="519"/>
        <v>573</v>
      </c>
      <c r="F573" s="9" t="s">
        <v>143</v>
      </c>
      <c r="M573" s="21">
        <v>180012</v>
      </c>
    </row>
    <row r="574" spans="1:13">
      <c r="E574" s="21">
        <f t="shared" si="519"/>
        <v>574</v>
      </c>
      <c r="F574" s="9" t="s">
        <v>127</v>
      </c>
      <c r="G574" s="21">
        <v>6</v>
      </c>
      <c r="M574" s="21">
        <f t="shared" ref="M574" si="553">M572</f>
        <v>822</v>
      </c>
    </row>
    <row r="575" spans="1:13">
      <c r="B575" s="21">
        <f t="shared" ref="B575" si="554">QUOTIENT( D575-1,$G$20)+1</f>
        <v>1</v>
      </c>
      <c r="C575" s="21">
        <f t="shared" ref="C575" si="555">D575-(B575-1)*$G$20</f>
        <v>138</v>
      </c>
      <c r="D575" s="21">
        <f>COUNT($D$26:$D574)+1</f>
        <v>138</v>
      </c>
      <c r="E575" s="21">
        <f t="shared" si="519"/>
        <v>575</v>
      </c>
      <c r="F575" s="9" t="s">
        <v>143</v>
      </c>
      <c r="M575" s="21">
        <v>180011</v>
      </c>
    </row>
    <row r="576" spans="1:13">
      <c r="A576" s="21" t="s">
        <v>228</v>
      </c>
      <c r="E576" s="21">
        <f t="shared" si="519"/>
        <v>576</v>
      </c>
      <c r="F576" s="9" t="s">
        <v>127</v>
      </c>
      <c r="G576" s="21">
        <v>6</v>
      </c>
      <c r="M576" s="21">
        <f t="shared" ref="M576" si="556">C575*G576</f>
        <v>828</v>
      </c>
    </row>
    <row r="577" spans="1:13">
      <c r="E577" s="21">
        <f t="shared" si="519"/>
        <v>577</v>
      </c>
      <c r="F577" s="9" t="s">
        <v>143</v>
      </c>
      <c r="M577" s="21">
        <v>180012</v>
      </c>
    </row>
    <row r="578" spans="1:13">
      <c r="E578" s="21">
        <f t="shared" si="519"/>
        <v>578</v>
      </c>
      <c r="F578" s="9" t="s">
        <v>127</v>
      </c>
      <c r="G578" s="21">
        <v>6</v>
      </c>
      <c r="M578" s="21">
        <f t="shared" ref="M578" si="557">M576</f>
        <v>828</v>
      </c>
    </row>
    <row r="579" spans="1:13">
      <c r="B579" s="21">
        <f t="shared" ref="B579" si="558">QUOTIENT( D579-1,$G$20)+1</f>
        <v>1</v>
      </c>
      <c r="C579" s="21">
        <f t="shared" ref="C579" si="559">D579-(B579-1)*$G$20</f>
        <v>139</v>
      </c>
      <c r="D579" s="21">
        <f>COUNT($D$26:$D578)+1</f>
        <v>139</v>
      </c>
      <c r="E579" s="21">
        <f t="shared" si="519"/>
        <v>579</v>
      </c>
      <c r="F579" s="9" t="s">
        <v>143</v>
      </c>
      <c r="M579" s="21">
        <v>180011</v>
      </c>
    </row>
    <row r="580" spans="1:13">
      <c r="A580" s="21" t="s">
        <v>228</v>
      </c>
      <c r="E580" s="21">
        <f t="shared" si="519"/>
        <v>580</v>
      </c>
      <c r="F580" s="9" t="s">
        <v>127</v>
      </c>
      <c r="G580" s="21">
        <v>6</v>
      </c>
      <c r="M580" s="21">
        <f t="shared" ref="M580" si="560">C579*G580</f>
        <v>834</v>
      </c>
    </row>
    <row r="581" spans="1:13">
      <c r="E581" s="21">
        <f t="shared" si="519"/>
        <v>581</v>
      </c>
      <c r="F581" s="9" t="s">
        <v>143</v>
      </c>
      <c r="M581" s="21">
        <v>180012</v>
      </c>
    </row>
    <row r="582" spans="1:13">
      <c r="E582" s="21">
        <f t="shared" si="519"/>
        <v>582</v>
      </c>
      <c r="F582" s="9" t="s">
        <v>127</v>
      </c>
      <c r="G582" s="21">
        <v>6</v>
      </c>
      <c r="M582" s="21">
        <f t="shared" ref="M582" si="561">M580</f>
        <v>834</v>
      </c>
    </row>
    <row r="583" spans="1:13">
      <c r="B583" s="21">
        <f t="shared" ref="B583" si="562">QUOTIENT( D583-1,$G$20)+1</f>
        <v>1</v>
      </c>
      <c r="C583" s="21">
        <f t="shared" ref="C583" si="563">D583-(B583-1)*$G$20</f>
        <v>140</v>
      </c>
      <c r="D583" s="21">
        <f>COUNT($D$26:$D582)+1</f>
        <v>140</v>
      </c>
      <c r="E583" s="21">
        <f t="shared" si="519"/>
        <v>583</v>
      </c>
      <c r="F583" s="9" t="s">
        <v>143</v>
      </c>
      <c r="M583" s="21">
        <v>180011</v>
      </c>
    </row>
    <row r="584" spans="1:13">
      <c r="A584" s="21" t="s">
        <v>228</v>
      </c>
      <c r="E584" s="21">
        <f t="shared" si="519"/>
        <v>584</v>
      </c>
      <c r="F584" s="9" t="s">
        <v>127</v>
      </c>
      <c r="G584" s="21">
        <v>6</v>
      </c>
      <c r="M584" s="21">
        <f t="shared" ref="M584" si="564">C583*G584</f>
        <v>840</v>
      </c>
    </row>
    <row r="585" spans="1:13">
      <c r="E585" s="21">
        <f t="shared" si="519"/>
        <v>585</v>
      </c>
      <c r="F585" s="9" t="s">
        <v>143</v>
      </c>
      <c r="M585" s="21">
        <v>180012</v>
      </c>
    </row>
    <row r="586" spans="1:13">
      <c r="E586" s="21">
        <f t="shared" si="519"/>
        <v>586</v>
      </c>
      <c r="F586" s="9" t="s">
        <v>127</v>
      </c>
      <c r="G586" s="21">
        <v>6</v>
      </c>
      <c r="M586" s="21">
        <f t="shared" ref="M586" si="565">M584</f>
        <v>840</v>
      </c>
    </row>
    <row r="587" spans="1:13">
      <c r="B587" s="21">
        <f t="shared" ref="B587" si="566">QUOTIENT( D587-1,$G$20)+1</f>
        <v>1</v>
      </c>
      <c r="C587" s="21">
        <f t="shared" ref="C587" si="567">D587-(B587-1)*$G$20</f>
        <v>141</v>
      </c>
      <c r="D587" s="21">
        <f>COUNT($D$26:$D586)+1</f>
        <v>141</v>
      </c>
      <c r="E587" s="21">
        <f t="shared" si="519"/>
        <v>587</v>
      </c>
      <c r="F587" s="9" t="s">
        <v>143</v>
      </c>
      <c r="M587" s="21">
        <v>180011</v>
      </c>
    </row>
    <row r="588" spans="1:13">
      <c r="A588" s="21" t="s">
        <v>228</v>
      </c>
      <c r="E588" s="21">
        <f t="shared" si="519"/>
        <v>588</v>
      </c>
      <c r="F588" s="9" t="s">
        <v>127</v>
      </c>
      <c r="G588" s="21">
        <v>6</v>
      </c>
      <c r="M588" s="21">
        <f t="shared" ref="M588" si="568">C587*G588</f>
        <v>846</v>
      </c>
    </row>
    <row r="589" spans="1:13">
      <c r="E589" s="21">
        <f t="shared" si="519"/>
        <v>589</v>
      </c>
      <c r="F589" s="9" t="s">
        <v>143</v>
      </c>
      <c r="M589" s="21">
        <v>180012</v>
      </c>
    </row>
    <row r="590" spans="1:13">
      <c r="E590" s="21">
        <f t="shared" si="519"/>
        <v>590</v>
      </c>
      <c r="F590" s="9" t="s">
        <v>127</v>
      </c>
      <c r="G590" s="21">
        <v>6</v>
      </c>
      <c r="M590" s="21">
        <f t="shared" ref="M590" si="569">M588</f>
        <v>846</v>
      </c>
    </row>
    <row r="591" spans="1:13">
      <c r="B591" s="21">
        <f t="shared" ref="B591" si="570">QUOTIENT( D591-1,$G$20)+1</f>
        <v>1</v>
      </c>
      <c r="C591" s="21">
        <f t="shared" ref="C591" si="571">D591-(B591-1)*$G$20</f>
        <v>142</v>
      </c>
      <c r="D591" s="21">
        <f>COUNT($D$26:$D590)+1</f>
        <v>142</v>
      </c>
      <c r="E591" s="21">
        <f t="shared" si="519"/>
        <v>591</v>
      </c>
      <c r="F591" s="9" t="s">
        <v>143</v>
      </c>
      <c r="M591" s="21">
        <v>180011</v>
      </c>
    </row>
    <row r="592" spans="1:13">
      <c r="A592" s="21" t="s">
        <v>228</v>
      </c>
      <c r="E592" s="21">
        <f t="shared" si="519"/>
        <v>592</v>
      </c>
      <c r="F592" s="9" t="s">
        <v>127</v>
      </c>
      <c r="G592" s="21">
        <v>6</v>
      </c>
      <c r="M592" s="21">
        <f t="shared" ref="M592" si="572">C591*G592</f>
        <v>852</v>
      </c>
    </row>
    <row r="593" spans="1:13">
      <c r="E593" s="21">
        <f t="shared" si="519"/>
        <v>593</v>
      </c>
      <c r="F593" s="9" t="s">
        <v>143</v>
      </c>
      <c r="M593" s="21">
        <v>180012</v>
      </c>
    </row>
    <row r="594" spans="1:13">
      <c r="E594" s="21">
        <f t="shared" si="519"/>
        <v>594</v>
      </c>
      <c r="F594" s="9" t="s">
        <v>127</v>
      </c>
      <c r="G594" s="21">
        <v>6</v>
      </c>
      <c r="M594" s="21">
        <f t="shared" ref="M594" si="573">M592</f>
        <v>852</v>
      </c>
    </row>
    <row r="595" spans="1:13">
      <c r="B595" s="21">
        <f t="shared" ref="B595" si="574">QUOTIENT( D595-1,$G$20)+1</f>
        <v>1</v>
      </c>
      <c r="C595" s="21">
        <f t="shared" ref="C595" si="575">D595-(B595-1)*$G$20</f>
        <v>143</v>
      </c>
      <c r="D595" s="21">
        <f>COUNT($D$26:$D594)+1</f>
        <v>143</v>
      </c>
      <c r="E595" s="21">
        <f t="shared" si="519"/>
        <v>595</v>
      </c>
      <c r="F595" s="9" t="s">
        <v>143</v>
      </c>
      <c r="M595" s="21">
        <v>180011</v>
      </c>
    </row>
    <row r="596" spans="1:13">
      <c r="A596" s="21" t="s">
        <v>228</v>
      </c>
      <c r="E596" s="21">
        <f t="shared" si="519"/>
        <v>596</v>
      </c>
      <c r="F596" s="9" t="s">
        <v>127</v>
      </c>
      <c r="G596" s="21">
        <v>6</v>
      </c>
      <c r="M596" s="21">
        <f t="shared" ref="M596" si="576">C595*G596</f>
        <v>858</v>
      </c>
    </row>
    <row r="597" spans="1:13">
      <c r="E597" s="21">
        <f t="shared" si="519"/>
        <v>597</v>
      </c>
      <c r="F597" s="9" t="s">
        <v>143</v>
      </c>
      <c r="M597" s="21">
        <v>180012</v>
      </c>
    </row>
    <row r="598" spans="1:13">
      <c r="E598" s="21">
        <f t="shared" si="519"/>
        <v>598</v>
      </c>
      <c r="F598" s="9" t="s">
        <v>127</v>
      </c>
      <c r="G598" s="21">
        <v>6</v>
      </c>
      <c r="M598" s="21">
        <f t="shared" ref="M598" si="577">M596</f>
        <v>858</v>
      </c>
    </row>
    <row r="599" spans="1:13">
      <c r="B599" s="21">
        <f t="shared" ref="B599" si="578">QUOTIENT( D599-1,$G$20)+1</f>
        <v>1</v>
      </c>
      <c r="C599" s="21">
        <f t="shared" ref="C599" si="579">D599-(B599-1)*$G$20</f>
        <v>144</v>
      </c>
      <c r="D599" s="21">
        <f>COUNT($D$26:$D598)+1</f>
        <v>144</v>
      </c>
      <c r="E599" s="21">
        <f t="shared" si="519"/>
        <v>599</v>
      </c>
      <c r="F599" s="9" t="s">
        <v>143</v>
      </c>
      <c r="M599" s="21">
        <v>180011</v>
      </c>
    </row>
    <row r="600" spans="1:13">
      <c r="A600" s="21" t="s">
        <v>228</v>
      </c>
      <c r="E600" s="21">
        <f t="shared" si="519"/>
        <v>600</v>
      </c>
      <c r="F600" s="9" t="s">
        <v>127</v>
      </c>
      <c r="G600" s="21">
        <v>6</v>
      </c>
      <c r="M600" s="21">
        <f t="shared" ref="M600" si="580">C599*G600</f>
        <v>864</v>
      </c>
    </row>
    <row r="601" spans="1:13">
      <c r="E601" s="21">
        <f t="shared" si="519"/>
        <v>601</v>
      </c>
      <c r="F601" s="9" t="s">
        <v>143</v>
      </c>
      <c r="M601" s="21">
        <v>180012</v>
      </c>
    </row>
    <row r="602" spans="1:13">
      <c r="E602" s="21">
        <f t="shared" si="519"/>
        <v>602</v>
      </c>
      <c r="F602" s="9" t="s">
        <v>127</v>
      </c>
      <c r="G602" s="21">
        <v>6</v>
      </c>
      <c r="M602" s="21">
        <f t="shared" ref="M602" si="581">M600</f>
        <v>864</v>
      </c>
    </row>
    <row r="603" spans="1:13">
      <c r="B603" s="21">
        <f t="shared" ref="B603" si="582">QUOTIENT( D603-1,$G$20)+1</f>
        <v>1</v>
      </c>
      <c r="C603" s="21">
        <f t="shared" ref="C603" si="583">D603-(B603-1)*$G$20</f>
        <v>145</v>
      </c>
      <c r="D603" s="21">
        <f>COUNT($D$26:$D602)+1</f>
        <v>145</v>
      </c>
      <c r="E603" s="21">
        <f t="shared" ref="E603:E666" si="584">ROW(E603)</f>
        <v>603</v>
      </c>
      <c r="F603" s="9" t="s">
        <v>143</v>
      </c>
      <c r="M603" s="21">
        <v>180011</v>
      </c>
    </row>
    <row r="604" spans="1:13">
      <c r="A604" s="21" t="s">
        <v>228</v>
      </c>
      <c r="E604" s="21">
        <f t="shared" si="584"/>
        <v>604</v>
      </c>
      <c r="F604" s="9" t="s">
        <v>127</v>
      </c>
      <c r="G604" s="21">
        <v>6</v>
      </c>
      <c r="M604" s="21">
        <f t="shared" ref="M604" si="585">C603*G604</f>
        <v>870</v>
      </c>
    </row>
    <row r="605" spans="1:13">
      <c r="E605" s="21">
        <f t="shared" si="584"/>
        <v>605</v>
      </c>
      <c r="F605" s="9" t="s">
        <v>143</v>
      </c>
      <c r="M605" s="21">
        <v>180012</v>
      </c>
    </row>
    <row r="606" spans="1:13">
      <c r="E606" s="21">
        <f t="shared" si="584"/>
        <v>606</v>
      </c>
      <c r="F606" s="9" t="s">
        <v>127</v>
      </c>
      <c r="G606" s="21">
        <v>6</v>
      </c>
      <c r="M606" s="21">
        <f t="shared" ref="M606" si="586">M604</f>
        <v>870</v>
      </c>
    </row>
    <row r="607" spans="1:13">
      <c r="B607" s="21">
        <f t="shared" ref="B607" si="587">QUOTIENT( D607-1,$G$20)+1</f>
        <v>1</v>
      </c>
      <c r="C607" s="21">
        <f t="shared" ref="C607" si="588">D607-(B607-1)*$G$20</f>
        <v>146</v>
      </c>
      <c r="D607" s="21">
        <f>COUNT($D$26:$D606)+1</f>
        <v>146</v>
      </c>
      <c r="E607" s="21">
        <f t="shared" si="584"/>
        <v>607</v>
      </c>
      <c r="F607" s="9" t="s">
        <v>143</v>
      </c>
      <c r="M607" s="21">
        <v>180011</v>
      </c>
    </row>
    <row r="608" spans="1:13">
      <c r="A608" s="21" t="s">
        <v>228</v>
      </c>
      <c r="E608" s="21">
        <f t="shared" si="584"/>
        <v>608</v>
      </c>
      <c r="F608" s="9" t="s">
        <v>127</v>
      </c>
      <c r="G608" s="21">
        <v>6</v>
      </c>
      <c r="M608" s="21">
        <f t="shared" ref="M608" si="589">C607*G608</f>
        <v>876</v>
      </c>
    </row>
    <row r="609" spans="1:13">
      <c r="E609" s="21">
        <f t="shared" si="584"/>
        <v>609</v>
      </c>
      <c r="F609" s="9" t="s">
        <v>143</v>
      </c>
      <c r="M609" s="21">
        <v>180012</v>
      </c>
    </row>
    <row r="610" spans="1:13">
      <c r="E610" s="21">
        <f t="shared" si="584"/>
        <v>610</v>
      </c>
      <c r="F610" s="9" t="s">
        <v>127</v>
      </c>
      <c r="G610" s="21">
        <v>6</v>
      </c>
      <c r="M610" s="21">
        <f t="shared" ref="M610" si="590">M608</f>
        <v>876</v>
      </c>
    </row>
    <row r="611" spans="1:13">
      <c r="B611" s="21">
        <f t="shared" ref="B611" si="591">QUOTIENT( D611-1,$G$20)+1</f>
        <v>1</v>
      </c>
      <c r="C611" s="21">
        <f t="shared" ref="C611" si="592">D611-(B611-1)*$G$20</f>
        <v>147</v>
      </c>
      <c r="D611" s="21">
        <f>COUNT($D$26:$D610)+1</f>
        <v>147</v>
      </c>
      <c r="E611" s="21">
        <f t="shared" si="584"/>
        <v>611</v>
      </c>
      <c r="F611" s="9" t="s">
        <v>143</v>
      </c>
      <c r="M611" s="21">
        <v>180011</v>
      </c>
    </row>
    <row r="612" spans="1:13">
      <c r="A612" s="21" t="s">
        <v>228</v>
      </c>
      <c r="E612" s="21">
        <f t="shared" si="584"/>
        <v>612</v>
      </c>
      <c r="F612" s="9" t="s">
        <v>127</v>
      </c>
      <c r="G612" s="21">
        <v>6</v>
      </c>
      <c r="M612" s="21">
        <f t="shared" ref="M612" si="593">C611*G612</f>
        <v>882</v>
      </c>
    </row>
    <row r="613" spans="1:13">
      <c r="E613" s="21">
        <f t="shared" si="584"/>
        <v>613</v>
      </c>
      <c r="F613" s="9" t="s">
        <v>143</v>
      </c>
      <c r="M613" s="21">
        <v>180012</v>
      </c>
    </row>
    <row r="614" spans="1:13">
      <c r="E614" s="21">
        <f t="shared" si="584"/>
        <v>614</v>
      </c>
      <c r="F614" s="9" t="s">
        <v>127</v>
      </c>
      <c r="G614" s="21">
        <v>6</v>
      </c>
      <c r="M614" s="21">
        <f t="shared" ref="M614" si="594">M612</f>
        <v>882</v>
      </c>
    </row>
    <row r="615" spans="1:13">
      <c r="B615" s="21">
        <f t="shared" ref="B615" si="595">QUOTIENT( D615-1,$G$20)+1</f>
        <v>1</v>
      </c>
      <c r="C615" s="21">
        <f t="shared" ref="C615" si="596">D615-(B615-1)*$G$20</f>
        <v>148</v>
      </c>
      <c r="D615" s="21">
        <f>COUNT($D$26:$D614)+1</f>
        <v>148</v>
      </c>
      <c r="E615" s="21">
        <f t="shared" si="584"/>
        <v>615</v>
      </c>
      <c r="F615" s="9" t="s">
        <v>143</v>
      </c>
      <c r="M615" s="21">
        <v>180011</v>
      </c>
    </row>
    <row r="616" spans="1:13">
      <c r="A616" s="21" t="s">
        <v>228</v>
      </c>
      <c r="E616" s="21">
        <f t="shared" si="584"/>
        <v>616</v>
      </c>
      <c r="F616" s="9" t="s">
        <v>127</v>
      </c>
      <c r="G616" s="21">
        <v>6</v>
      </c>
      <c r="M616" s="21">
        <f t="shared" ref="M616" si="597">C615*G616</f>
        <v>888</v>
      </c>
    </row>
    <row r="617" spans="1:13">
      <c r="E617" s="21">
        <f t="shared" si="584"/>
        <v>617</v>
      </c>
      <c r="F617" s="9" t="s">
        <v>143</v>
      </c>
      <c r="M617" s="21">
        <v>180012</v>
      </c>
    </row>
    <row r="618" spans="1:13">
      <c r="E618" s="21">
        <f t="shared" si="584"/>
        <v>618</v>
      </c>
      <c r="F618" s="9" t="s">
        <v>127</v>
      </c>
      <c r="G618" s="21">
        <v>6</v>
      </c>
      <c r="M618" s="21">
        <f t="shared" ref="M618" si="598">M616</f>
        <v>888</v>
      </c>
    </row>
    <row r="619" spans="1:13">
      <c r="B619" s="21">
        <f t="shared" ref="B619" si="599">QUOTIENT( D619-1,$G$20)+1</f>
        <v>1</v>
      </c>
      <c r="C619" s="21">
        <f t="shared" ref="C619" si="600">D619-(B619-1)*$G$20</f>
        <v>149</v>
      </c>
      <c r="D619" s="21">
        <f>COUNT($D$26:$D618)+1</f>
        <v>149</v>
      </c>
      <c r="E619" s="21">
        <f t="shared" si="584"/>
        <v>619</v>
      </c>
      <c r="F619" s="9" t="s">
        <v>143</v>
      </c>
      <c r="M619" s="21">
        <v>180011</v>
      </c>
    </row>
    <row r="620" spans="1:13">
      <c r="A620" s="21" t="s">
        <v>228</v>
      </c>
      <c r="E620" s="21">
        <f t="shared" si="584"/>
        <v>620</v>
      </c>
      <c r="F620" s="9" t="s">
        <v>127</v>
      </c>
      <c r="G620" s="21">
        <v>6</v>
      </c>
      <c r="M620" s="21">
        <f t="shared" ref="M620" si="601">C619*G620</f>
        <v>894</v>
      </c>
    </row>
    <row r="621" spans="1:13">
      <c r="E621" s="21">
        <f t="shared" si="584"/>
        <v>621</v>
      </c>
      <c r="F621" s="9" t="s">
        <v>143</v>
      </c>
      <c r="M621" s="21">
        <v>180012</v>
      </c>
    </row>
    <row r="622" spans="1:13">
      <c r="E622" s="21">
        <f t="shared" si="584"/>
        <v>622</v>
      </c>
      <c r="F622" s="9" t="s">
        <v>127</v>
      </c>
      <c r="G622" s="21">
        <v>6</v>
      </c>
      <c r="M622" s="21">
        <f t="shared" ref="M622" si="602">M620</f>
        <v>894</v>
      </c>
    </row>
    <row r="623" spans="1:13">
      <c r="B623" s="21">
        <f t="shared" ref="B623" si="603">QUOTIENT( D623-1,$G$20)+1</f>
        <v>1</v>
      </c>
      <c r="C623" s="21">
        <f t="shared" ref="C623" si="604">D623-(B623-1)*$G$20</f>
        <v>150</v>
      </c>
      <c r="D623" s="21">
        <f>COUNT($D$26:$D622)+1</f>
        <v>150</v>
      </c>
      <c r="E623" s="21">
        <f t="shared" si="584"/>
        <v>623</v>
      </c>
      <c r="F623" s="9" t="s">
        <v>143</v>
      </c>
      <c r="M623" s="21">
        <v>180011</v>
      </c>
    </row>
    <row r="624" spans="1:13">
      <c r="A624" s="21" t="s">
        <v>228</v>
      </c>
      <c r="E624" s="21">
        <f t="shared" si="584"/>
        <v>624</v>
      </c>
      <c r="F624" s="9" t="s">
        <v>127</v>
      </c>
      <c r="G624" s="21">
        <v>6</v>
      </c>
      <c r="M624" s="21">
        <f t="shared" ref="M624" si="605">C623*G624</f>
        <v>900</v>
      </c>
    </row>
    <row r="625" spans="1:13">
      <c r="E625" s="21">
        <f t="shared" si="584"/>
        <v>625</v>
      </c>
      <c r="F625" s="9" t="s">
        <v>143</v>
      </c>
      <c r="M625" s="21">
        <v>180012</v>
      </c>
    </row>
    <row r="626" spans="1:13">
      <c r="E626" s="21">
        <f t="shared" si="584"/>
        <v>626</v>
      </c>
      <c r="F626" s="9" t="s">
        <v>127</v>
      </c>
      <c r="G626" s="21">
        <v>6</v>
      </c>
      <c r="M626" s="21">
        <f t="shared" ref="M626" si="606">M624</f>
        <v>900</v>
      </c>
    </row>
    <row r="627" spans="1:13">
      <c r="B627" s="21">
        <f t="shared" ref="B627" si="607">QUOTIENT( D627-1,$G$20)+1</f>
        <v>1</v>
      </c>
      <c r="C627" s="21">
        <f t="shared" ref="C627" si="608">D627-(B627-1)*$G$20</f>
        <v>151</v>
      </c>
      <c r="D627" s="21">
        <f>COUNT($D$26:$D626)+1</f>
        <v>151</v>
      </c>
      <c r="E627" s="21">
        <f t="shared" si="584"/>
        <v>627</v>
      </c>
      <c r="F627" s="9" t="s">
        <v>143</v>
      </c>
      <c r="M627" s="21">
        <v>180011</v>
      </c>
    </row>
    <row r="628" spans="1:13">
      <c r="A628" s="21" t="s">
        <v>228</v>
      </c>
      <c r="E628" s="21">
        <f t="shared" si="584"/>
        <v>628</v>
      </c>
      <c r="F628" s="9" t="s">
        <v>127</v>
      </c>
      <c r="G628" s="21">
        <v>6</v>
      </c>
      <c r="M628" s="21">
        <f t="shared" ref="M628" si="609">C627*G628</f>
        <v>906</v>
      </c>
    </row>
    <row r="629" spans="1:13">
      <c r="E629" s="21">
        <f t="shared" si="584"/>
        <v>629</v>
      </c>
      <c r="F629" s="9" t="s">
        <v>143</v>
      </c>
      <c r="M629" s="21">
        <v>180012</v>
      </c>
    </row>
    <row r="630" spans="1:13">
      <c r="E630" s="21">
        <f t="shared" si="584"/>
        <v>630</v>
      </c>
      <c r="F630" s="9" t="s">
        <v>127</v>
      </c>
      <c r="G630" s="21">
        <v>6</v>
      </c>
      <c r="M630" s="21">
        <f t="shared" ref="M630" si="610">M628</f>
        <v>906</v>
      </c>
    </row>
    <row r="631" spans="1:13">
      <c r="B631" s="21">
        <f t="shared" ref="B631" si="611">QUOTIENT( D631-1,$G$20)+1</f>
        <v>1</v>
      </c>
      <c r="C631" s="21">
        <f t="shared" ref="C631" si="612">D631-(B631-1)*$G$20</f>
        <v>152</v>
      </c>
      <c r="D631" s="21">
        <f>COUNT($D$26:$D630)+1</f>
        <v>152</v>
      </c>
      <c r="E631" s="21">
        <f t="shared" si="584"/>
        <v>631</v>
      </c>
      <c r="F631" s="9" t="s">
        <v>143</v>
      </c>
      <c r="M631" s="21">
        <v>180011</v>
      </c>
    </row>
    <row r="632" spans="1:13">
      <c r="A632" s="21" t="s">
        <v>228</v>
      </c>
      <c r="E632" s="21">
        <f t="shared" si="584"/>
        <v>632</v>
      </c>
      <c r="F632" s="9" t="s">
        <v>127</v>
      </c>
      <c r="G632" s="21">
        <v>6</v>
      </c>
      <c r="M632" s="21">
        <f t="shared" ref="M632" si="613">C631*G632</f>
        <v>912</v>
      </c>
    </row>
    <row r="633" spans="1:13">
      <c r="E633" s="21">
        <f t="shared" si="584"/>
        <v>633</v>
      </c>
      <c r="F633" s="9" t="s">
        <v>143</v>
      </c>
      <c r="M633" s="21">
        <v>180012</v>
      </c>
    </row>
    <row r="634" spans="1:13">
      <c r="E634" s="21">
        <f t="shared" si="584"/>
        <v>634</v>
      </c>
      <c r="F634" s="9" t="s">
        <v>127</v>
      </c>
      <c r="G634" s="21">
        <v>6</v>
      </c>
      <c r="M634" s="21">
        <f t="shared" ref="M634" si="614">M632</f>
        <v>912</v>
      </c>
    </row>
    <row r="635" spans="1:13">
      <c r="B635" s="21">
        <f t="shared" ref="B635" si="615">QUOTIENT( D635-1,$G$20)+1</f>
        <v>1</v>
      </c>
      <c r="C635" s="21">
        <f t="shared" ref="C635" si="616">D635-(B635-1)*$G$20</f>
        <v>153</v>
      </c>
      <c r="D635" s="21">
        <f>COUNT($D$26:$D634)+1</f>
        <v>153</v>
      </c>
      <c r="E635" s="21">
        <f t="shared" si="584"/>
        <v>635</v>
      </c>
      <c r="F635" s="9" t="s">
        <v>143</v>
      </c>
      <c r="M635" s="21">
        <v>180011</v>
      </c>
    </row>
    <row r="636" spans="1:13">
      <c r="A636" s="21" t="s">
        <v>228</v>
      </c>
      <c r="E636" s="21">
        <f t="shared" si="584"/>
        <v>636</v>
      </c>
      <c r="F636" s="9" t="s">
        <v>127</v>
      </c>
      <c r="G636" s="21">
        <v>6</v>
      </c>
      <c r="M636" s="21">
        <f t="shared" ref="M636" si="617">C635*G636</f>
        <v>918</v>
      </c>
    </row>
    <row r="637" spans="1:13">
      <c r="E637" s="21">
        <f t="shared" si="584"/>
        <v>637</v>
      </c>
      <c r="F637" s="9" t="s">
        <v>143</v>
      </c>
      <c r="M637" s="21">
        <v>180012</v>
      </c>
    </row>
    <row r="638" spans="1:13">
      <c r="E638" s="21">
        <f t="shared" si="584"/>
        <v>638</v>
      </c>
      <c r="F638" s="9" t="s">
        <v>127</v>
      </c>
      <c r="G638" s="21">
        <v>6</v>
      </c>
      <c r="M638" s="21">
        <f t="shared" ref="M638" si="618">M636</f>
        <v>918</v>
      </c>
    </row>
    <row r="639" spans="1:13">
      <c r="B639" s="21">
        <f t="shared" ref="B639" si="619">QUOTIENT( D639-1,$G$20)+1</f>
        <v>1</v>
      </c>
      <c r="C639" s="21">
        <f t="shared" ref="C639" si="620">D639-(B639-1)*$G$20</f>
        <v>154</v>
      </c>
      <c r="D639" s="21">
        <f>COUNT($D$26:$D638)+1</f>
        <v>154</v>
      </c>
      <c r="E639" s="21">
        <f t="shared" si="584"/>
        <v>639</v>
      </c>
      <c r="F639" s="9" t="s">
        <v>143</v>
      </c>
      <c r="M639" s="21">
        <v>180011</v>
      </c>
    </row>
    <row r="640" spans="1:13">
      <c r="A640" s="21" t="s">
        <v>228</v>
      </c>
      <c r="E640" s="21">
        <f t="shared" si="584"/>
        <v>640</v>
      </c>
      <c r="F640" s="9" t="s">
        <v>127</v>
      </c>
      <c r="G640" s="21">
        <v>6</v>
      </c>
      <c r="M640" s="21">
        <f t="shared" ref="M640" si="621">C639*G640</f>
        <v>924</v>
      </c>
    </row>
    <row r="641" spans="1:13">
      <c r="E641" s="21">
        <f t="shared" si="584"/>
        <v>641</v>
      </c>
      <c r="F641" s="9" t="s">
        <v>143</v>
      </c>
      <c r="M641" s="21">
        <v>180012</v>
      </c>
    </row>
    <row r="642" spans="1:13">
      <c r="E642" s="21">
        <f t="shared" si="584"/>
        <v>642</v>
      </c>
      <c r="F642" s="9" t="s">
        <v>127</v>
      </c>
      <c r="G642" s="21">
        <v>6</v>
      </c>
      <c r="M642" s="21">
        <f t="shared" ref="M642" si="622">M640</f>
        <v>924</v>
      </c>
    </row>
    <row r="643" spans="1:13">
      <c r="B643" s="21">
        <f t="shared" ref="B643" si="623">QUOTIENT( D643-1,$G$20)+1</f>
        <v>1</v>
      </c>
      <c r="C643" s="21">
        <f t="shared" ref="C643" si="624">D643-(B643-1)*$G$20</f>
        <v>155</v>
      </c>
      <c r="D643" s="21">
        <f>COUNT($D$26:$D642)+1</f>
        <v>155</v>
      </c>
      <c r="E643" s="21">
        <f t="shared" si="584"/>
        <v>643</v>
      </c>
      <c r="F643" s="9" t="s">
        <v>143</v>
      </c>
      <c r="M643" s="21">
        <v>180011</v>
      </c>
    </row>
    <row r="644" spans="1:13">
      <c r="A644" s="21" t="s">
        <v>228</v>
      </c>
      <c r="E644" s="21">
        <f t="shared" si="584"/>
        <v>644</v>
      </c>
      <c r="F644" s="9" t="s">
        <v>127</v>
      </c>
      <c r="G644" s="21">
        <v>6</v>
      </c>
      <c r="M644" s="21">
        <f t="shared" ref="M644" si="625">C643*G644</f>
        <v>930</v>
      </c>
    </row>
    <row r="645" spans="1:13">
      <c r="E645" s="21">
        <f t="shared" si="584"/>
        <v>645</v>
      </c>
      <c r="F645" s="9" t="s">
        <v>143</v>
      </c>
      <c r="M645" s="21">
        <v>180012</v>
      </c>
    </row>
    <row r="646" spans="1:13">
      <c r="E646" s="21">
        <f t="shared" si="584"/>
        <v>646</v>
      </c>
      <c r="F646" s="9" t="s">
        <v>127</v>
      </c>
      <c r="G646" s="21">
        <v>6</v>
      </c>
      <c r="M646" s="21">
        <f t="shared" ref="M646" si="626">M644</f>
        <v>930</v>
      </c>
    </row>
    <row r="647" spans="1:13">
      <c r="B647" s="21">
        <f t="shared" ref="B647" si="627">QUOTIENT( D647-1,$G$20)+1</f>
        <v>1</v>
      </c>
      <c r="C647" s="21">
        <f t="shared" ref="C647" si="628">D647-(B647-1)*$G$20</f>
        <v>156</v>
      </c>
      <c r="D647" s="21">
        <f>COUNT($D$26:$D646)+1</f>
        <v>156</v>
      </c>
      <c r="E647" s="21">
        <f t="shared" si="584"/>
        <v>647</v>
      </c>
      <c r="F647" s="9" t="s">
        <v>143</v>
      </c>
      <c r="M647" s="21">
        <v>180011</v>
      </c>
    </row>
    <row r="648" spans="1:13">
      <c r="A648" s="21" t="s">
        <v>228</v>
      </c>
      <c r="E648" s="21">
        <f t="shared" si="584"/>
        <v>648</v>
      </c>
      <c r="F648" s="9" t="s">
        <v>127</v>
      </c>
      <c r="G648" s="21">
        <v>6</v>
      </c>
      <c r="M648" s="21">
        <f t="shared" ref="M648" si="629">C647*G648</f>
        <v>936</v>
      </c>
    </row>
    <row r="649" spans="1:13">
      <c r="E649" s="21">
        <f t="shared" si="584"/>
        <v>649</v>
      </c>
      <c r="F649" s="9" t="s">
        <v>143</v>
      </c>
      <c r="M649" s="21">
        <v>180012</v>
      </c>
    </row>
    <row r="650" spans="1:13">
      <c r="E650" s="21">
        <f t="shared" si="584"/>
        <v>650</v>
      </c>
      <c r="F650" s="9" t="s">
        <v>127</v>
      </c>
      <c r="G650" s="21">
        <v>6</v>
      </c>
      <c r="M650" s="21">
        <f t="shared" ref="M650" si="630">M648</f>
        <v>936</v>
      </c>
    </row>
    <row r="651" spans="1:13">
      <c r="B651" s="21">
        <f t="shared" ref="B651" si="631">QUOTIENT( D651-1,$G$20)+1</f>
        <v>1</v>
      </c>
      <c r="C651" s="21">
        <f t="shared" ref="C651" si="632">D651-(B651-1)*$G$20</f>
        <v>157</v>
      </c>
      <c r="D651" s="21">
        <f>COUNT($D$26:$D650)+1</f>
        <v>157</v>
      </c>
      <c r="E651" s="21">
        <f t="shared" si="584"/>
        <v>651</v>
      </c>
      <c r="F651" s="9" t="s">
        <v>143</v>
      </c>
      <c r="M651" s="21">
        <v>180011</v>
      </c>
    </row>
    <row r="652" spans="1:13">
      <c r="A652" s="21" t="s">
        <v>228</v>
      </c>
      <c r="E652" s="21">
        <f t="shared" si="584"/>
        <v>652</v>
      </c>
      <c r="F652" s="9" t="s">
        <v>127</v>
      </c>
      <c r="G652" s="21">
        <v>6</v>
      </c>
      <c r="M652" s="21">
        <f t="shared" ref="M652" si="633">C651*G652</f>
        <v>942</v>
      </c>
    </row>
    <row r="653" spans="1:13">
      <c r="E653" s="21">
        <f t="shared" si="584"/>
        <v>653</v>
      </c>
      <c r="F653" s="9" t="s">
        <v>143</v>
      </c>
      <c r="M653" s="21">
        <v>180012</v>
      </c>
    </row>
    <row r="654" spans="1:13">
      <c r="E654" s="21">
        <f t="shared" si="584"/>
        <v>654</v>
      </c>
      <c r="F654" s="9" t="s">
        <v>127</v>
      </c>
      <c r="G654" s="21">
        <v>6</v>
      </c>
      <c r="M654" s="21">
        <f t="shared" ref="M654" si="634">M652</f>
        <v>942</v>
      </c>
    </row>
    <row r="655" spans="1:13">
      <c r="B655" s="21">
        <f t="shared" ref="B655" si="635">QUOTIENT( D655-1,$G$20)+1</f>
        <v>1</v>
      </c>
      <c r="C655" s="21">
        <f t="shared" ref="C655" si="636">D655-(B655-1)*$G$20</f>
        <v>158</v>
      </c>
      <c r="D655" s="21">
        <f>COUNT($D$26:$D654)+1</f>
        <v>158</v>
      </c>
      <c r="E655" s="21">
        <f t="shared" si="584"/>
        <v>655</v>
      </c>
      <c r="F655" s="9" t="s">
        <v>143</v>
      </c>
      <c r="M655" s="21">
        <v>180011</v>
      </c>
    </row>
    <row r="656" spans="1:13">
      <c r="A656" s="21" t="s">
        <v>228</v>
      </c>
      <c r="E656" s="21">
        <f t="shared" si="584"/>
        <v>656</v>
      </c>
      <c r="F656" s="9" t="s">
        <v>127</v>
      </c>
      <c r="G656" s="21">
        <v>6</v>
      </c>
      <c r="M656" s="21">
        <f t="shared" ref="M656" si="637">C655*G656</f>
        <v>948</v>
      </c>
    </row>
    <row r="657" spans="1:13">
      <c r="E657" s="21">
        <f t="shared" si="584"/>
        <v>657</v>
      </c>
      <c r="F657" s="9" t="s">
        <v>143</v>
      </c>
      <c r="M657" s="21">
        <v>180012</v>
      </c>
    </row>
    <row r="658" spans="1:13">
      <c r="E658" s="21">
        <f t="shared" si="584"/>
        <v>658</v>
      </c>
      <c r="F658" s="9" t="s">
        <v>127</v>
      </c>
      <c r="G658" s="21">
        <v>6</v>
      </c>
      <c r="M658" s="21">
        <f t="shared" ref="M658" si="638">M656</f>
        <v>948</v>
      </c>
    </row>
    <row r="659" spans="1:13">
      <c r="B659" s="21">
        <f t="shared" ref="B659" si="639">QUOTIENT( D659-1,$G$20)+1</f>
        <v>1</v>
      </c>
      <c r="C659" s="21">
        <f t="shared" ref="C659" si="640">D659-(B659-1)*$G$20</f>
        <v>159</v>
      </c>
      <c r="D659" s="21">
        <f>COUNT($D$26:$D658)+1</f>
        <v>159</v>
      </c>
      <c r="E659" s="21">
        <f t="shared" si="584"/>
        <v>659</v>
      </c>
      <c r="F659" s="9" t="s">
        <v>143</v>
      </c>
      <c r="M659" s="21">
        <v>180011</v>
      </c>
    </row>
    <row r="660" spans="1:13">
      <c r="A660" s="21" t="s">
        <v>228</v>
      </c>
      <c r="E660" s="21">
        <f t="shared" si="584"/>
        <v>660</v>
      </c>
      <c r="F660" s="9" t="s">
        <v>127</v>
      </c>
      <c r="G660" s="21">
        <v>6</v>
      </c>
      <c r="M660" s="21">
        <f t="shared" ref="M660" si="641">C659*G660</f>
        <v>954</v>
      </c>
    </row>
    <row r="661" spans="1:13">
      <c r="E661" s="21">
        <f t="shared" si="584"/>
        <v>661</v>
      </c>
      <c r="F661" s="9" t="s">
        <v>143</v>
      </c>
      <c r="M661" s="21">
        <v>180012</v>
      </c>
    </row>
    <row r="662" spans="1:13">
      <c r="E662" s="21">
        <f t="shared" si="584"/>
        <v>662</v>
      </c>
      <c r="F662" s="9" t="s">
        <v>127</v>
      </c>
      <c r="G662" s="21">
        <v>6</v>
      </c>
      <c r="M662" s="21">
        <f t="shared" ref="M662" si="642">M660</f>
        <v>954</v>
      </c>
    </row>
    <row r="663" spans="1:13">
      <c r="B663" s="21">
        <f t="shared" ref="B663" si="643">QUOTIENT( D663-1,$G$20)+1</f>
        <v>1</v>
      </c>
      <c r="C663" s="21">
        <f t="shared" ref="C663" si="644">D663-(B663-1)*$G$20</f>
        <v>160</v>
      </c>
      <c r="D663" s="21">
        <f>COUNT($D$26:$D662)+1</f>
        <v>160</v>
      </c>
      <c r="E663" s="21">
        <f t="shared" si="584"/>
        <v>663</v>
      </c>
      <c r="F663" s="9" t="s">
        <v>143</v>
      </c>
      <c r="M663" s="21">
        <v>180011</v>
      </c>
    </row>
    <row r="664" spans="1:13">
      <c r="A664" s="21" t="s">
        <v>228</v>
      </c>
      <c r="E664" s="21">
        <f t="shared" si="584"/>
        <v>664</v>
      </c>
      <c r="F664" s="9" t="s">
        <v>127</v>
      </c>
      <c r="G664" s="21">
        <v>6</v>
      </c>
      <c r="M664" s="21">
        <f t="shared" ref="M664" si="645">C663*G664</f>
        <v>960</v>
      </c>
    </row>
    <row r="665" spans="1:13">
      <c r="E665" s="21">
        <f t="shared" si="584"/>
        <v>665</v>
      </c>
      <c r="F665" s="9" t="s">
        <v>143</v>
      </c>
      <c r="M665" s="21">
        <v>180012</v>
      </c>
    </row>
    <row r="666" spans="1:13">
      <c r="E666" s="21">
        <f t="shared" si="584"/>
        <v>666</v>
      </c>
      <c r="F666" s="9" t="s">
        <v>127</v>
      </c>
      <c r="G666" s="21">
        <v>6</v>
      </c>
      <c r="M666" s="21">
        <f t="shared" ref="M666" si="646">M664</f>
        <v>960</v>
      </c>
    </row>
    <row r="667" spans="1:13">
      <c r="B667" s="21">
        <f t="shared" ref="B667" si="647">QUOTIENT( D667-1,$G$20)+1</f>
        <v>1</v>
      </c>
      <c r="C667" s="21">
        <f t="shared" ref="C667" si="648">D667-(B667-1)*$G$20</f>
        <v>161</v>
      </c>
      <c r="D667" s="21">
        <f>COUNT($D$26:$D666)+1</f>
        <v>161</v>
      </c>
      <c r="E667" s="21">
        <f t="shared" ref="E667:E730" si="649">ROW(E667)</f>
        <v>667</v>
      </c>
      <c r="F667" s="9" t="s">
        <v>143</v>
      </c>
      <c r="M667" s="21">
        <v>180011</v>
      </c>
    </row>
    <row r="668" spans="1:13">
      <c r="A668" s="21" t="s">
        <v>228</v>
      </c>
      <c r="E668" s="21">
        <f t="shared" si="649"/>
        <v>668</v>
      </c>
      <c r="F668" s="9" t="s">
        <v>127</v>
      </c>
      <c r="G668" s="21">
        <v>6</v>
      </c>
      <c r="M668" s="21">
        <f t="shared" ref="M668" si="650">C667*G668</f>
        <v>966</v>
      </c>
    </row>
    <row r="669" spans="1:13">
      <c r="E669" s="21">
        <f t="shared" si="649"/>
        <v>669</v>
      </c>
      <c r="F669" s="9" t="s">
        <v>143</v>
      </c>
      <c r="M669" s="21">
        <v>180012</v>
      </c>
    </row>
    <row r="670" spans="1:13">
      <c r="E670" s="21">
        <f t="shared" si="649"/>
        <v>670</v>
      </c>
      <c r="F670" s="9" t="s">
        <v>127</v>
      </c>
      <c r="G670" s="21">
        <v>6</v>
      </c>
      <c r="M670" s="21">
        <f t="shared" ref="M670" si="651">M668</f>
        <v>966</v>
      </c>
    </row>
    <row r="671" spans="1:13">
      <c r="B671" s="21">
        <f t="shared" ref="B671" si="652">QUOTIENT( D671-1,$G$20)+1</f>
        <v>1</v>
      </c>
      <c r="C671" s="21">
        <f t="shared" ref="C671" si="653">D671-(B671-1)*$G$20</f>
        <v>162</v>
      </c>
      <c r="D671" s="21">
        <f>COUNT($D$26:$D670)+1</f>
        <v>162</v>
      </c>
      <c r="E671" s="21">
        <f t="shared" si="649"/>
        <v>671</v>
      </c>
      <c r="F671" s="9" t="s">
        <v>143</v>
      </c>
      <c r="M671" s="21">
        <v>180011</v>
      </c>
    </row>
    <row r="672" spans="1:13">
      <c r="A672" s="21" t="s">
        <v>228</v>
      </c>
      <c r="E672" s="21">
        <f t="shared" si="649"/>
        <v>672</v>
      </c>
      <c r="F672" s="9" t="s">
        <v>127</v>
      </c>
      <c r="G672" s="21">
        <v>6</v>
      </c>
      <c r="M672" s="21">
        <f t="shared" ref="M672" si="654">C671*G672</f>
        <v>972</v>
      </c>
    </row>
    <row r="673" spans="1:13">
      <c r="E673" s="21">
        <f t="shared" si="649"/>
        <v>673</v>
      </c>
      <c r="F673" s="9" t="s">
        <v>143</v>
      </c>
      <c r="M673" s="21">
        <v>180012</v>
      </c>
    </row>
    <row r="674" spans="1:13">
      <c r="E674" s="21">
        <f t="shared" si="649"/>
        <v>674</v>
      </c>
      <c r="F674" s="9" t="s">
        <v>127</v>
      </c>
      <c r="G674" s="21">
        <v>6</v>
      </c>
      <c r="M674" s="21">
        <f t="shared" ref="M674" si="655">M672</f>
        <v>972</v>
      </c>
    </row>
    <row r="675" spans="1:13">
      <c r="B675" s="21">
        <f t="shared" ref="B675" si="656">QUOTIENT( D675-1,$G$20)+1</f>
        <v>1</v>
      </c>
      <c r="C675" s="21">
        <f t="shared" ref="C675" si="657">D675-(B675-1)*$G$20</f>
        <v>163</v>
      </c>
      <c r="D675" s="21">
        <f>COUNT($D$26:$D674)+1</f>
        <v>163</v>
      </c>
      <c r="E675" s="21">
        <f t="shared" si="649"/>
        <v>675</v>
      </c>
      <c r="F675" s="9" t="s">
        <v>143</v>
      </c>
      <c r="M675" s="21">
        <v>180011</v>
      </c>
    </row>
    <row r="676" spans="1:13">
      <c r="A676" s="21" t="s">
        <v>228</v>
      </c>
      <c r="E676" s="21">
        <f t="shared" si="649"/>
        <v>676</v>
      </c>
      <c r="F676" s="9" t="s">
        <v>127</v>
      </c>
      <c r="G676" s="21">
        <v>6</v>
      </c>
      <c r="M676" s="21">
        <f t="shared" ref="M676" si="658">C675*G676</f>
        <v>978</v>
      </c>
    </row>
    <row r="677" spans="1:13">
      <c r="E677" s="21">
        <f t="shared" si="649"/>
        <v>677</v>
      </c>
      <c r="F677" s="9" t="s">
        <v>143</v>
      </c>
      <c r="M677" s="21">
        <v>180012</v>
      </c>
    </row>
    <row r="678" spans="1:13">
      <c r="E678" s="21">
        <f t="shared" si="649"/>
        <v>678</v>
      </c>
      <c r="F678" s="9" t="s">
        <v>127</v>
      </c>
      <c r="G678" s="21">
        <v>6</v>
      </c>
      <c r="M678" s="21">
        <f t="shared" ref="M678" si="659">M676</f>
        <v>978</v>
      </c>
    </row>
    <row r="679" spans="1:13">
      <c r="B679" s="21">
        <f t="shared" ref="B679" si="660">QUOTIENT( D679-1,$G$20)+1</f>
        <v>1</v>
      </c>
      <c r="C679" s="21">
        <f t="shared" ref="C679" si="661">D679-(B679-1)*$G$20</f>
        <v>164</v>
      </c>
      <c r="D679" s="21">
        <f>COUNT($D$26:$D678)+1</f>
        <v>164</v>
      </c>
      <c r="E679" s="21">
        <f t="shared" si="649"/>
        <v>679</v>
      </c>
      <c r="F679" s="9" t="s">
        <v>143</v>
      </c>
      <c r="M679" s="21">
        <v>180011</v>
      </c>
    </row>
    <row r="680" spans="1:13">
      <c r="A680" s="21" t="s">
        <v>228</v>
      </c>
      <c r="E680" s="21">
        <f t="shared" si="649"/>
        <v>680</v>
      </c>
      <c r="F680" s="9" t="s">
        <v>127</v>
      </c>
      <c r="G680" s="21">
        <v>6</v>
      </c>
      <c r="M680" s="21">
        <f t="shared" ref="M680" si="662">C679*G680</f>
        <v>984</v>
      </c>
    </row>
    <row r="681" spans="1:13">
      <c r="E681" s="21">
        <f t="shared" si="649"/>
        <v>681</v>
      </c>
      <c r="F681" s="9" t="s">
        <v>143</v>
      </c>
      <c r="M681" s="21">
        <v>180012</v>
      </c>
    </row>
    <row r="682" spans="1:13">
      <c r="E682" s="21">
        <f t="shared" si="649"/>
        <v>682</v>
      </c>
      <c r="F682" s="9" t="s">
        <v>127</v>
      </c>
      <c r="G682" s="21">
        <v>6</v>
      </c>
      <c r="M682" s="21">
        <f t="shared" ref="M682" si="663">M680</f>
        <v>984</v>
      </c>
    </row>
    <row r="683" spans="1:13">
      <c r="B683" s="21">
        <f t="shared" ref="B683" si="664">QUOTIENT( D683-1,$G$20)+1</f>
        <v>1</v>
      </c>
      <c r="C683" s="21">
        <f t="shared" ref="C683" si="665">D683-(B683-1)*$G$20</f>
        <v>165</v>
      </c>
      <c r="D683" s="21">
        <f>COUNT($D$26:$D682)+1</f>
        <v>165</v>
      </c>
      <c r="E683" s="21">
        <f t="shared" si="649"/>
        <v>683</v>
      </c>
      <c r="F683" s="9" t="s">
        <v>143</v>
      </c>
      <c r="M683" s="21">
        <v>180011</v>
      </c>
    </row>
    <row r="684" spans="1:13">
      <c r="A684" s="21" t="s">
        <v>228</v>
      </c>
      <c r="E684" s="21">
        <f t="shared" si="649"/>
        <v>684</v>
      </c>
      <c r="F684" s="9" t="s">
        <v>127</v>
      </c>
      <c r="G684" s="21">
        <v>6</v>
      </c>
      <c r="M684" s="21">
        <f t="shared" ref="M684" si="666">C683*G684</f>
        <v>990</v>
      </c>
    </row>
    <row r="685" spans="1:13">
      <c r="E685" s="21">
        <f t="shared" si="649"/>
        <v>685</v>
      </c>
      <c r="F685" s="9" t="s">
        <v>143</v>
      </c>
      <c r="M685" s="21">
        <v>180012</v>
      </c>
    </row>
    <row r="686" spans="1:13">
      <c r="E686" s="21">
        <f t="shared" si="649"/>
        <v>686</v>
      </c>
      <c r="F686" s="9" t="s">
        <v>127</v>
      </c>
      <c r="G686" s="21">
        <v>6</v>
      </c>
      <c r="M686" s="21">
        <f t="shared" ref="M686" si="667">M684</f>
        <v>990</v>
      </c>
    </row>
    <row r="687" spans="1:13">
      <c r="B687" s="21">
        <f t="shared" ref="B687" si="668">QUOTIENT( D687-1,$G$20)+1</f>
        <v>1</v>
      </c>
      <c r="C687" s="21">
        <f t="shared" ref="C687" si="669">D687-(B687-1)*$G$20</f>
        <v>166</v>
      </c>
      <c r="D687" s="21">
        <f>COUNT($D$26:$D686)+1</f>
        <v>166</v>
      </c>
      <c r="E687" s="21">
        <f t="shared" si="649"/>
        <v>687</v>
      </c>
      <c r="F687" s="9" t="s">
        <v>143</v>
      </c>
      <c r="M687" s="21">
        <v>180011</v>
      </c>
    </row>
    <row r="688" spans="1:13">
      <c r="A688" s="21" t="s">
        <v>228</v>
      </c>
      <c r="E688" s="21">
        <f t="shared" si="649"/>
        <v>688</v>
      </c>
      <c r="F688" s="9" t="s">
        <v>127</v>
      </c>
      <c r="G688" s="21">
        <v>6</v>
      </c>
      <c r="M688" s="21">
        <f t="shared" ref="M688" si="670">C687*G688</f>
        <v>996</v>
      </c>
    </row>
    <row r="689" spans="1:13">
      <c r="E689" s="21">
        <f t="shared" si="649"/>
        <v>689</v>
      </c>
      <c r="F689" s="9" t="s">
        <v>143</v>
      </c>
      <c r="M689" s="21">
        <v>180012</v>
      </c>
    </row>
    <row r="690" spans="1:13">
      <c r="E690" s="21">
        <f t="shared" si="649"/>
        <v>690</v>
      </c>
      <c r="F690" s="9" t="s">
        <v>127</v>
      </c>
      <c r="G690" s="21">
        <v>6</v>
      </c>
      <c r="M690" s="21">
        <f t="shared" ref="M690" si="671">M688</f>
        <v>996</v>
      </c>
    </row>
    <row r="691" spans="1:13">
      <c r="B691" s="21">
        <f t="shared" ref="B691" si="672">QUOTIENT( D691-1,$G$20)+1</f>
        <v>1</v>
      </c>
      <c r="C691" s="21">
        <f t="shared" ref="C691" si="673">D691-(B691-1)*$G$20</f>
        <v>167</v>
      </c>
      <c r="D691" s="21">
        <f>COUNT($D$26:$D690)+1</f>
        <v>167</v>
      </c>
      <c r="E691" s="21">
        <f t="shared" si="649"/>
        <v>691</v>
      </c>
      <c r="F691" s="9" t="s">
        <v>143</v>
      </c>
      <c r="M691" s="21">
        <v>180011</v>
      </c>
    </row>
    <row r="692" spans="1:13">
      <c r="A692" s="21" t="s">
        <v>228</v>
      </c>
      <c r="E692" s="21">
        <f t="shared" si="649"/>
        <v>692</v>
      </c>
      <c r="F692" s="9" t="s">
        <v>127</v>
      </c>
      <c r="G692" s="21">
        <v>6</v>
      </c>
      <c r="M692" s="21">
        <f t="shared" ref="M692" si="674">C691*G692</f>
        <v>1002</v>
      </c>
    </row>
    <row r="693" spans="1:13">
      <c r="E693" s="21">
        <f t="shared" si="649"/>
        <v>693</v>
      </c>
      <c r="F693" s="9" t="s">
        <v>143</v>
      </c>
      <c r="M693" s="21">
        <v>180012</v>
      </c>
    </row>
    <row r="694" spans="1:13">
      <c r="E694" s="21">
        <f t="shared" si="649"/>
        <v>694</v>
      </c>
      <c r="F694" s="9" t="s">
        <v>127</v>
      </c>
      <c r="G694" s="21">
        <v>6</v>
      </c>
      <c r="M694" s="21">
        <f t="shared" ref="M694" si="675">M692</f>
        <v>1002</v>
      </c>
    </row>
    <row r="695" spans="1:13">
      <c r="B695" s="21">
        <f t="shared" ref="B695" si="676">QUOTIENT( D695-1,$G$20)+1</f>
        <v>1</v>
      </c>
      <c r="C695" s="21">
        <f t="shared" ref="C695" si="677">D695-(B695-1)*$G$20</f>
        <v>168</v>
      </c>
      <c r="D695" s="21">
        <f>COUNT($D$26:$D694)+1</f>
        <v>168</v>
      </c>
      <c r="E695" s="21">
        <f t="shared" si="649"/>
        <v>695</v>
      </c>
      <c r="F695" s="9" t="s">
        <v>143</v>
      </c>
      <c r="M695" s="21">
        <v>180011</v>
      </c>
    </row>
    <row r="696" spans="1:13">
      <c r="A696" s="21" t="s">
        <v>228</v>
      </c>
      <c r="E696" s="21">
        <f t="shared" si="649"/>
        <v>696</v>
      </c>
      <c r="F696" s="9" t="s">
        <v>127</v>
      </c>
      <c r="G696" s="21">
        <v>6</v>
      </c>
      <c r="M696" s="21">
        <f t="shared" ref="M696" si="678">C695*G696</f>
        <v>1008</v>
      </c>
    </row>
    <row r="697" spans="1:13">
      <c r="E697" s="21">
        <f t="shared" si="649"/>
        <v>697</v>
      </c>
      <c r="F697" s="9" t="s">
        <v>143</v>
      </c>
      <c r="M697" s="21">
        <v>180012</v>
      </c>
    </row>
    <row r="698" spans="1:13">
      <c r="E698" s="21">
        <f t="shared" si="649"/>
        <v>698</v>
      </c>
      <c r="F698" s="9" t="s">
        <v>127</v>
      </c>
      <c r="G698" s="21">
        <v>6</v>
      </c>
      <c r="M698" s="21">
        <f t="shared" ref="M698" si="679">M696</f>
        <v>1008</v>
      </c>
    </row>
    <row r="699" spans="1:13">
      <c r="B699" s="21">
        <f t="shared" ref="B699" si="680">QUOTIENT( D699-1,$G$20)+1</f>
        <v>1</v>
      </c>
      <c r="C699" s="21">
        <f t="shared" ref="C699" si="681">D699-(B699-1)*$G$20</f>
        <v>169</v>
      </c>
      <c r="D699" s="21">
        <f>COUNT($D$26:$D698)+1</f>
        <v>169</v>
      </c>
      <c r="E699" s="21">
        <f t="shared" si="649"/>
        <v>699</v>
      </c>
      <c r="F699" s="9" t="s">
        <v>143</v>
      </c>
      <c r="M699" s="21">
        <v>180011</v>
      </c>
    </row>
    <row r="700" spans="1:13">
      <c r="A700" s="21" t="s">
        <v>228</v>
      </c>
      <c r="E700" s="21">
        <f t="shared" si="649"/>
        <v>700</v>
      </c>
      <c r="F700" s="9" t="s">
        <v>127</v>
      </c>
      <c r="G700" s="21">
        <v>6</v>
      </c>
      <c r="M700" s="21">
        <f t="shared" ref="M700" si="682">C699*G700</f>
        <v>1014</v>
      </c>
    </row>
    <row r="701" spans="1:13">
      <c r="E701" s="21">
        <f t="shared" si="649"/>
        <v>701</v>
      </c>
      <c r="F701" s="9" t="s">
        <v>143</v>
      </c>
      <c r="M701" s="21">
        <v>180012</v>
      </c>
    </row>
    <row r="702" spans="1:13">
      <c r="E702" s="21">
        <f t="shared" si="649"/>
        <v>702</v>
      </c>
      <c r="F702" s="9" t="s">
        <v>127</v>
      </c>
      <c r="G702" s="21">
        <v>6</v>
      </c>
      <c r="M702" s="21">
        <f t="shared" ref="M702" si="683">M700</f>
        <v>1014</v>
      </c>
    </row>
    <row r="703" spans="1:13">
      <c r="B703" s="21">
        <f t="shared" ref="B703" si="684">QUOTIENT( D703-1,$G$20)+1</f>
        <v>1</v>
      </c>
      <c r="C703" s="21">
        <f t="shared" ref="C703" si="685">D703-(B703-1)*$G$20</f>
        <v>170</v>
      </c>
      <c r="D703" s="21">
        <f>COUNT($D$26:$D702)+1</f>
        <v>170</v>
      </c>
      <c r="E703" s="21">
        <f t="shared" si="649"/>
        <v>703</v>
      </c>
      <c r="F703" s="9" t="s">
        <v>143</v>
      </c>
      <c r="M703" s="21">
        <v>180011</v>
      </c>
    </row>
    <row r="704" spans="1:13">
      <c r="A704" s="21" t="s">
        <v>228</v>
      </c>
      <c r="E704" s="21">
        <f t="shared" si="649"/>
        <v>704</v>
      </c>
      <c r="F704" s="9" t="s">
        <v>127</v>
      </c>
      <c r="G704" s="21">
        <v>6</v>
      </c>
      <c r="M704" s="21">
        <f t="shared" ref="M704" si="686">C703*G704</f>
        <v>1020</v>
      </c>
    </row>
    <row r="705" spans="1:13">
      <c r="E705" s="21">
        <f t="shared" si="649"/>
        <v>705</v>
      </c>
      <c r="F705" s="9" t="s">
        <v>143</v>
      </c>
      <c r="M705" s="21">
        <v>180012</v>
      </c>
    </row>
    <row r="706" spans="1:13">
      <c r="E706" s="21">
        <f t="shared" si="649"/>
        <v>706</v>
      </c>
      <c r="F706" s="9" t="s">
        <v>127</v>
      </c>
      <c r="G706" s="21">
        <v>6</v>
      </c>
      <c r="M706" s="21">
        <f t="shared" ref="M706" si="687">M704</f>
        <v>1020</v>
      </c>
    </row>
    <row r="707" spans="1:13">
      <c r="B707" s="21">
        <f t="shared" ref="B707" si="688">QUOTIENT( D707-1,$G$20)+1</f>
        <v>1</v>
      </c>
      <c r="C707" s="21">
        <f t="shared" ref="C707" si="689">D707-(B707-1)*$G$20</f>
        <v>171</v>
      </c>
      <c r="D707" s="21">
        <f>COUNT($D$26:$D706)+1</f>
        <v>171</v>
      </c>
      <c r="E707" s="21">
        <f t="shared" si="649"/>
        <v>707</v>
      </c>
      <c r="F707" s="9" t="s">
        <v>143</v>
      </c>
      <c r="M707" s="21">
        <v>180011</v>
      </c>
    </row>
    <row r="708" spans="1:13">
      <c r="A708" s="21" t="s">
        <v>228</v>
      </c>
      <c r="E708" s="21">
        <f t="shared" si="649"/>
        <v>708</v>
      </c>
      <c r="F708" s="9" t="s">
        <v>127</v>
      </c>
      <c r="G708" s="21">
        <v>6</v>
      </c>
      <c r="M708" s="21">
        <f t="shared" ref="M708" si="690">C707*G708</f>
        <v>1026</v>
      </c>
    </row>
    <row r="709" spans="1:13">
      <c r="E709" s="21">
        <f t="shared" si="649"/>
        <v>709</v>
      </c>
      <c r="F709" s="9" t="s">
        <v>143</v>
      </c>
      <c r="M709" s="21">
        <v>180012</v>
      </c>
    </row>
    <row r="710" spans="1:13">
      <c r="E710" s="21">
        <f t="shared" si="649"/>
        <v>710</v>
      </c>
      <c r="F710" s="9" t="s">
        <v>127</v>
      </c>
      <c r="G710" s="21">
        <v>6</v>
      </c>
      <c r="M710" s="21">
        <f t="shared" ref="M710" si="691">M708</f>
        <v>1026</v>
      </c>
    </row>
    <row r="711" spans="1:13">
      <c r="B711" s="21">
        <f t="shared" ref="B711" si="692">QUOTIENT( D711-1,$G$20)+1</f>
        <v>1</v>
      </c>
      <c r="C711" s="21">
        <f t="shared" ref="C711" si="693">D711-(B711-1)*$G$20</f>
        <v>172</v>
      </c>
      <c r="D711" s="21">
        <f>COUNT($D$26:$D710)+1</f>
        <v>172</v>
      </c>
      <c r="E711" s="21">
        <f t="shared" si="649"/>
        <v>711</v>
      </c>
      <c r="F711" s="9" t="s">
        <v>143</v>
      </c>
      <c r="M711" s="21">
        <v>180011</v>
      </c>
    </row>
    <row r="712" spans="1:13">
      <c r="A712" s="21" t="s">
        <v>228</v>
      </c>
      <c r="E712" s="21">
        <f t="shared" si="649"/>
        <v>712</v>
      </c>
      <c r="F712" s="9" t="s">
        <v>127</v>
      </c>
      <c r="G712" s="21">
        <v>6</v>
      </c>
      <c r="M712" s="21">
        <f t="shared" ref="M712" si="694">C711*G712</f>
        <v>1032</v>
      </c>
    </row>
    <row r="713" spans="1:13">
      <c r="E713" s="21">
        <f t="shared" si="649"/>
        <v>713</v>
      </c>
      <c r="F713" s="9" t="s">
        <v>143</v>
      </c>
      <c r="M713" s="21">
        <v>180012</v>
      </c>
    </row>
    <row r="714" spans="1:13">
      <c r="E714" s="21">
        <f t="shared" si="649"/>
        <v>714</v>
      </c>
      <c r="F714" s="9" t="s">
        <v>127</v>
      </c>
      <c r="G714" s="21">
        <v>6</v>
      </c>
      <c r="M714" s="21">
        <f t="shared" ref="M714" si="695">M712</f>
        <v>1032</v>
      </c>
    </row>
    <row r="715" spans="1:13">
      <c r="B715" s="21">
        <f t="shared" ref="B715" si="696">QUOTIENT( D715-1,$G$20)+1</f>
        <v>1</v>
      </c>
      <c r="C715" s="21">
        <f t="shared" ref="C715" si="697">D715-(B715-1)*$G$20</f>
        <v>173</v>
      </c>
      <c r="D715" s="21">
        <f>COUNT($D$26:$D714)+1</f>
        <v>173</v>
      </c>
      <c r="E715" s="21">
        <f t="shared" si="649"/>
        <v>715</v>
      </c>
      <c r="F715" s="9" t="s">
        <v>143</v>
      </c>
      <c r="M715" s="21">
        <v>180011</v>
      </c>
    </row>
    <row r="716" spans="1:13">
      <c r="A716" s="21" t="s">
        <v>228</v>
      </c>
      <c r="E716" s="21">
        <f t="shared" si="649"/>
        <v>716</v>
      </c>
      <c r="F716" s="9" t="s">
        <v>127</v>
      </c>
      <c r="G716" s="21">
        <v>6</v>
      </c>
      <c r="M716" s="21">
        <f t="shared" ref="M716" si="698">C715*G716</f>
        <v>1038</v>
      </c>
    </row>
    <row r="717" spans="1:13">
      <c r="E717" s="21">
        <f t="shared" si="649"/>
        <v>717</v>
      </c>
      <c r="F717" s="9" t="s">
        <v>143</v>
      </c>
      <c r="M717" s="21">
        <v>180012</v>
      </c>
    </row>
    <row r="718" spans="1:13">
      <c r="E718" s="21">
        <f t="shared" si="649"/>
        <v>718</v>
      </c>
      <c r="F718" s="9" t="s">
        <v>127</v>
      </c>
      <c r="G718" s="21">
        <v>6</v>
      </c>
      <c r="M718" s="21">
        <f t="shared" ref="M718" si="699">M716</f>
        <v>1038</v>
      </c>
    </row>
    <row r="719" spans="1:13">
      <c r="B719" s="21">
        <f t="shared" ref="B719" si="700">QUOTIENT( D719-1,$G$20)+1</f>
        <v>1</v>
      </c>
      <c r="C719" s="21">
        <f t="shared" ref="C719" si="701">D719-(B719-1)*$G$20</f>
        <v>174</v>
      </c>
      <c r="D719" s="21">
        <f>COUNT($D$26:$D718)+1</f>
        <v>174</v>
      </c>
      <c r="E719" s="21">
        <f t="shared" si="649"/>
        <v>719</v>
      </c>
      <c r="F719" s="9" t="s">
        <v>143</v>
      </c>
      <c r="M719" s="21">
        <v>180011</v>
      </c>
    </row>
    <row r="720" spans="1:13">
      <c r="A720" s="21" t="s">
        <v>228</v>
      </c>
      <c r="E720" s="21">
        <f t="shared" si="649"/>
        <v>720</v>
      </c>
      <c r="F720" s="9" t="s">
        <v>127</v>
      </c>
      <c r="G720" s="21">
        <v>6</v>
      </c>
      <c r="M720" s="21">
        <f t="shared" ref="M720" si="702">C719*G720</f>
        <v>1044</v>
      </c>
    </row>
    <row r="721" spans="1:13">
      <c r="E721" s="21">
        <f t="shared" si="649"/>
        <v>721</v>
      </c>
      <c r="F721" s="9" t="s">
        <v>143</v>
      </c>
      <c r="M721" s="21">
        <v>180012</v>
      </c>
    </row>
    <row r="722" spans="1:13">
      <c r="E722" s="21">
        <f t="shared" si="649"/>
        <v>722</v>
      </c>
      <c r="F722" s="9" t="s">
        <v>127</v>
      </c>
      <c r="G722" s="21">
        <v>6</v>
      </c>
      <c r="M722" s="21">
        <f t="shared" ref="M722" si="703">M720</f>
        <v>1044</v>
      </c>
    </row>
    <row r="723" spans="1:13">
      <c r="B723" s="21">
        <f t="shared" ref="B723" si="704">QUOTIENT( D723-1,$G$20)+1</f>
        <v>1</v>
      </c>
      <c r="C723" s="21">
        <f t="shared" ref="C723" si="705">D723-(B723-1)*$G$20</f>
        <v>175</v>
      </c>
      <c r="D723" s="21">
        <f>COUNT($D$26:$D722)+1</f>
        <v>175</v>
      </c>
      <c r="E723" s="21">
        <f t="shared" si="649"/>
        <v>723</v>
      </c>
      <c r="F723" s="9" t="s">
        <v>143</v>
      </c>
      <c r="M723" s="21">
        <v>180011</v>
      </c>
    </row>
    <row r="724" spans="1:13">
      <c r="A724" s="21" t="s">
        <v>228</v>
      </c>
      <c r="E724" s="21">
        <f t="shared" si="649"/>
        <v>724</v>
      </c>
      <c r="F724" s="9" t="s">
        <v>127</v>
      </c>
      <c r="G724" s="21">
        <v>6</v>
      </c>
      <c r="M724" s="21">
        <f t="shared" ref="M724" si="706">C723*G724</f>
        <v>1050</v>
      </c>
    </row>
    <row r="725" spans="1:13">
      <c r="E725" s="21">
        <f t="shared" si="649"/>
        <v>725</v>
      </c>
      <c r="F725" s="9" t="s">
        <v>143</v>
      </c>
      <c r="M725" s="21">
        <v>180012</v>
      </c>
    </row>
    <row r="726" spans="1:13">
      <c r="E726" s="21">
        <f t="shared" si="649"/>
        <v>726</v>
      </c>
      <c r="F726" s="9" t="s">
        <v>127</v>
      </c>
      <c r="G726" s="21">
        <v>6</v>
      </c>
      <c r="M726" s="21">
        <f t="shared" ref="M726" si="707">M724</f>
        <v>1050</v>
      </c>
    </row>
    <row r="727" spans="1:13">
      <c r="B727" s="21">
        <f t="shared" ref="B727" si="708">QUOTIENT( D727-1,$G$20)+1</f>
        <v>1</v>
      </c>
      <c r="C727" s="21">
        <f t="shared" ref="C727" si="709">D727-(B727-1)*$G$20</f>
        <v>176</v>
      </c>
      <c r="D727" s="21">
        <f>COUNT($D$26:$D726)+1</f>
        <v>176</v>
      </c>
      <c r="E727" s="21">
        <f t="shared" si="649"/>
        <v>727</v>
      </c>
      <c r="F727" s="9" t="s">
        <v>143</v>
      </c>
      <c r="M727" s="21">
        <v>180011</v>
      </c>
    </row>
    <row r="728" spans="1:13">
      <c r="A728" s="21" t="s">
        <v>228</v>
      </c>
      <c r="E728" s="21">
        <f t="shared" si="649"/>
        <v>728</v>
      </c>
      <c r="F728" s="9" t="s">
        <v>127</v>
      </c>
      <c r="G728" s="21">
        <v>6</v>
      </c>
      <c r="M728" s="21">
        <f t="shared" ref="M728" si="710">C727*G728</f>
        <v>1056</v>
      </c>
    </row>
    <row r="729" spans="1:13">
      <c r="E729" s="21">
        <f t="shared" si="649"/>
        <v>729</v>
      </c>
      <c r="F729" s="9" t="s">
        <v>143</v>
      </c>
      <c r="M729" s="21">
        <v>180012</v>
      </c>
    </row>
    <row r="730" spans="1:13">
      <c r="E730" s="21">
        <f t="shared" si="649"/>
        <v>730</v>
      </c>
      <c r="F730" s="9" t="s">
        <v>127</v>
      </c>
      <c r="G730" s="21">
        <v>6</v>
      </c>
      <c r="M730" s="21">
        <f t="shared" ref="M730" si="711">M728</f>
        <v>1056</v>
      </c>
    </row>
    <row r="731" spans="1:13">
      <c r="B731" s="21">
        <f t="shared" ref="B731" si="712">QUOTIENT( D731-1,$G$20)+1</f>
        <v>1</v>
      </c>
      <c r="C731" s="21">
        <f t="shared" ref="C731" si="713">D731-(B731-1)*$G$20</f>
        <v>177</v>
      </c>
      <c r="D731" s="21">
        <f>COUNT($D$26:$D730)+1</f>
        <v>177</v>
      </c>
      <c r="E731" s="21">
        <f t="shared" ref="E731:E794" si="714">ROW(E731)</f>
        <v>731</v>
      </c>
      <c r="F731" s="9" t="s">
        <v>143</v>
      </c>
      <c r="M731" s="21">
        <v>180011</v>
      </c>
    </row>
    <row r="732" spans="1:13">
      <c r="A732" s="21" t="s">
        <v>228</v>
      </c>
      <c r="E732" s="21">
        <f t="shared" si="714"/>
        <v>732</v>
      </c>
      <c r="F732" s="9" t="s">
        <v>127</v>
      </c>
      <c r="G732" s="21">
        <v>6</v>
      </c>
      <c r="M732" s="21">
        <f t="shared" ref="M732" si="715">C731*G732</f>
        <v>1062</v>
      </c>
    </row>
    <row r="733" spans="1:13">
      <c r="E733" s="21">
        <f t="shared" si="714"/>
        <v>733</v>
      </c>
      <c r="F733" s="9" t="s">
        <v>143</v>
      </c>
      <c r="M733" s="21">
        <v>180012</v>
      </c>
    </row>
    <row r="734" spans="1:13">
      <c r="E734" s="21">
        <f t="shared" si="714"/>
        <v>734</v>
      </c>
      <c r="F734" s="9" t="s">
        <v>127</v>
      </c>
      <c r="G734" s="21">
        <v>6</v>
      </c>
      <c r="M734" s="21">
        <f t="shared" ref="M734" si="716">M732</f>
        <v>1062</v>
      </c>
    </row>
    <row r="735" spans="1:13">
      <c r="B735" s="21">
        <f t="shared" ref="B735" si="717">QUOTIENT( D735-1,$G$20)+1</f>
        <v>1</v>
      </c>
      <c r="C735" s="21">
        <f t="shared" ref="C735" si="718">D735-(B735-1)*$G$20</f>
        <v>178</v>
      </c>
      <c r="D735" s="21">
        <f>COUNT($D$26:$D734)+1</f>
        <v>178</v>
      </c>
      <c r="E735" s="21">
        <f t="shared" si="714"/>
        <v>735</v>
      </c>
      <c r="F735" s="9" t="s">
        <v>143</v>
      </c>
      <c r="M735" s="21">
        <v>180011</v>
      </c>
    </row>
    <row r="736" spans="1:13">
      <c r="A736" s="21" t="s">
        <v>228</v>
      </c>
      <c r="E736" s="21">
        <f t="shared" si="714"/>
        <v>736</v>
      </c>
      <c r="F736" s="9" t="s">
        <v>127</v>
      </c>
      <c r="G736" s="21">
        <v>6</v>
      </c>
      <c r="M736" s="21">
        <f t="shared" ref="M736" si="719">C735*G736</f>
        <v>1068</v>
      </c>
    </row>
    <row r="737" spans="1:13">
      <c r="E737" s="21">
        <f t="shared" si="714"/>
        <v>737</v>
      </c>
      <c r="F737" s="9" t="s">
        <v>143</v>
      </c>
      <c r="M737" s="21">
        <v>180012</v>
      </c>
    </row>
    <row r="738" spans="1:13">
      <c r="E738" s="21">
        <f t="shared" si="714"/>
        <v>738</v>
      </c>
      <c r="F738" s="9" t="s">
        <v>127</v>
      </c>
      <c r="G738" s="21">
        <v>6</v>
      </c>
      <c r="M738" s="21">
        <f t="shared" ref="M738" si="720">M736</f>
        <v>1068</v>
      </c>
    </row>
    <row r="739" spans="1:13">
      <c r="B739" s="21">
        <f t="shared" ref="B739" si="721">QUOTIENT( D739-1,$G$20)+1</f>
        <v>1</v>
      </c>
      <c r="C739" s="21">
        <f t="shared" ref="C739" si="722">D739-(B739-1)*$G$20</f>
        <v>179</v>
      </c>
      <c r="D739" s="21">
        <f>COUNT($D$26:$D738)+1</f>
        <v>179</v>
      </c>
      <c r="E739" s="21">
        <f t="shared" si="714"/>
        <v>739</v>
      </c>
      <c r="F739" s="9" t="s">
        <v>143</v>
      </c>
      <c r="M739" s="21">
        <v>180011</v>
      </c>
    </row>
    <row r="740" spans="1:13">
      <c r="A740" s="21" t="s">
        <v>228</v>
      </c>
      <c r="E740" s="21">
        <f t="shared" si="714"/>
        <v>740</v>
      </c>
      <c r="F740" s="9" t="s">
        <v>127</v>
      </c>
      <c r="G740" s="21">
        <v>6</v>
      </c>
      <c r="M740" s="21">
        <f t="shared" ref="M740" si="723">C739*G740</f>
        <v>1074</v>
      </c>
    </row>
    <row r="741" spans="1:13">
      <c r="E741" s="21">
        <f t="shared" si="714"/>
        <v>741</v>
      </c>
      <c r="F741" s="9" t="s">
        <v>143</v>
      </c>
      <c r="M741" s="21">
        <v>180012</v>
      </c>
    </row>
    <row r="742" spans="1:13">
      <c r="E742" s="21">
        <f t="shared" si="714"/>
        <v>742</v>
      </c>
      <c r="F742" s="9" t="s">
        <v>127</v>
      </c>
      <c r="G742" s="21">
        <v>6</v>
      </c>
      <c r="M742" s="21">
        <f t="shared" ref="M742" si="724">M740</f>
        <v>1074</v>
      </c>
    </row>
    <row r="743" spans="1:13">
      <c r="B743" s="21">
        <f t="shared" ref="B743" si="725">QUOTIENT( D743-1,$G$20)+1</f>
        <v>1</v>
      </c>
      <c r="C743" s="21">
        <f t="shared" ref="C743" si="726">D743-(B743-1)*$G$20</f>
        <v>180</v>
      </c>
      <c r="D743" s="21">
        <f>COUNT($D$26:$D742)+1</f>
        <v>180</v>
      </c>
      <c r="E743" s="21">
        <f t="shared" si="714"/>
        <v>743</v>
      </c>
      <c r="F743" s="9" t="s">
        <v>143</v>
      </c>
      <c r="M743" s="21">
        <v>180011</v>
      </c>
    </row>
    <row r="744" spans="1:13">
      <c r="A744" s="21" t="s">
        <v>228</v>
      </c>
      <c r="E744" s="21">
        <f t="shared" si="714"/>
        <v>744</v>
      </c>
      <c r="F744" s="9" t="s">
        <v>127</v>
      </c>
      <c r="G744" s="21">
        <v>6</v>
      </c>
      <c r="M744" s="21">
        <f t="shared" ref="M744" si="727">C743*G744</f>
        <v>1080</v>
      </c>
    </row>
    <row r="745" spans="1:13">
      <c r="E745" s="21">
        <f t="shared" si="714"/>
        <v>745</v>
      </c>
      <c r="F745" s="9" t="s">
        <v>143</v>
      </c>
      <c r="M745" s="21">
        <v>180012</v>
      </c>
    </row>
    <row r="746" spans="1:13">
      <c r="E746" s="21">
        <f t="shared" si="714"/>
        <v>746</v>
      </c>
      <c r="F746" s="9" t="s">
        <v>127</v>
      </c>
      <c r="G746" s="21">
        <v>6</v>
      </c>
      <c r="M746" s="21">
        <f t="shared" ref="M746" si="728">M744</f>
        <v>1080</v>
      </c>
    </row>
    <row r="747" spans="1:13">
      <c r="B747" s="21">
        <f t="shared" ref="B747" si="729">QUOTIENT( D747-1,$G$20)+1</f>
        <v>1</v>
      </c>
      <c r="C747" s="21">
        <f t="shared" ref="C747" si="730">D747-(B747-1)*$G$20</f>
        <v>181</v>
      </c>
      <c r="D747" s="21">
        <f>COUNT($D$26:$D746)+1</f>
        <v>181</v>
      </c>
      <c r="E747" s="21">
        <f t="shared" si="714"/>
        <v>747</v>
      </c>
      <c r="F747" s="9" t="s">
        <v>143</v>
      </c>
      <c r="M747" s="21">
        <v>180011</v>
      </c>
    </row>
    <row r="748" spans="1:13">
      <c r="A748" s="21" t="s">
        <v>228</v>
      </c>
      <c r="E748" s="21">
        <f t="shared" si="714"/>
        <v>748</v>
      </c>
      <c r="F748" s="9" t="s">
        <v>127</v>
      </c>
      <c r="G748" s="21">
        <v>6</v>
      </c>
      <c r="M748" s="21">
        <f t="shared" ref="M748" si="731">C747*G748</f>
        <v>1086</v>
      </c>
    </row>
    <row r="749" spans="1:13">
      <c r="E749" s="21">
        <f t="shared" si="714"/>
        <v>749</v>
      </c>
      <c r="F749" s="9" t="s">
        <v>143</v>
      </c>
      <c r="M749" s="21">
        <v>180012</v>
      </c>
    </row>
    <row r="750" spans="1:13">
      <c r="E750" s="21">
        <f t="shared" si="714"/>
        <v>750</v>
      </c>
      <c r="F750" s="9" t="s">
        <v>127</v>
      </c>
      <c r="G750" s="21">
        <v>6</v>
      </c>
      <c r="M750" s="21">
        <f t="shared" ref="M750" si="732">M748</f>
        <v>1086</v>
      </c>
    </row>
    <row r="751" spans="1:13">
      <c r="B751" s="21">
        <f t="shared" ref="B751" si="733">QUOTIENT( D751-1,$G$20)+1</f>
        <v>1</v>
      </c>
      <c r="C751" s="21">
        <f t="shared" ref="C751" si="734">D751-(B751-1)*$G$20</f>
        <v>182</v>
      </c>
      <c r="D751" s="21">
        <f>COUNT($D$26:$D750)+1</f>
        <v>182</v>
      </c>
      <c r="E751" s="21">
        <f t="shared" si="714"/>
        <v>751</v>
      </c>
      <c r="F751" s="9" t="s">
        <v>143</v>
      </c>
      <c r="M751" s="21">
        <v>180011</v>
      </c>
    </row>
    <row r="752" spans="1:13">
      <c r="A752" s="21" t="s">
        <v>228</v>
      </c>
      <c r="E752" s="21">
        <f t="shared" si="714"/>
        <v>752</v>
      </c>
      <c r="F752" s="9" t="s">
        <v>127</v>
      </c>
      <c r="G752" s="21">
        <v>6</v>
      </c>
      <c r="M752" s="21">
        <f t="shared" ref="M752" si="735">C751*G752</f>
        <v>1092</v>
      </c>
    </row>
    <row r="753" spans="1:13">
      <c r="E753" s="21">
        <f t="shared" si="714"/>
        <v>753</v>
      </c>
      <c r="F753" s="9" t="s">
        <v>143</v>
      </c>
      <c r="M753" s="21">
        <v>180012</v>
      </c>
    </row>
    <row r="754" spans="1:13">
      <c r="E754" s="21">
        <f t="shared" si="714"/>
        <v>754</v>
      </c>
      <c r="F754" s="9" t="s">
        <v>127</v>
      </c>
      <c r="G754" s="21">
        <v>6</v>
      </c>
      <c r="M754" s="21">
        <f t="shared" ref="M754" si="736">M752</f>
        <v>1092</v>
      </c>
    </row>
    <row r="755" spans="1:13">
      <c r="B755" s="21">
        <f t="shared" ref="B755" si="737">QUOTIENT( D755-1,$G$20)+1</f>
        <v>1</v>
      </c>
      <c r="C755" s="21">
        <f t="shared" ref="C755" si="738">D755-(B755-1)*$G$20</f>
        <v>183</v>
      </c>
      <c r="D755" s="21">
        <f>COUNT($D$26:$D754)+1</f>
        <v>183</v>
      </c>
      <c r="E755" s="21">
        <f t="shared" si="714"/>
        <v>755</v>
      </c>
      <c r="F755" s="9" t="s">
        <v>143</v>
      </c>
      <c r="M755" s="21">
        <v>180011</v>
      </c>
    </row>
    <row r="756" spans="1:13">
      <c r="A756" s="21" t="s">
        <v>228</v>
      </c>
      <c r="E756" s="21">
        <f t="shared" si="714"/>
        <v>756</v>
      </c>
      <c r="F756" s="9" t="s">
        <v>127</v>
      </c>
      <c r="G756" s="21">
        <v>6</v>
      </c>
      <c r="M756" s="21">
        <f t="shared" ref="M756" si="739">C755*G756</f>
        <v>1098</v>
      </c>
    </row>
    <row r="757" spans="1:13">
      <c r="E757" s="21">
        <f t="shared" si="714"/>
        <v>757</v>
      </c>
      <c r="F757" s="9" t="s">
        <v>143</v>
      </c>
      <c r="M757" s="21">
        <v>180012</v>
      </c>
    </row>
    <row r="758" spans="1:13">
      <c r="E758" s="21">
        <f t="shared" si="714"/>
        <v>758</v>
      </c>
      <c r="F758" s="9" t="s">
        <v>127</v>
      </c>
      <c r="G758" s="21">
        <v>6</v>
      </c>
      <c r="M758" s="21">
        <f t="shared" ref="M758" si="740">M756</f>
        <v>1098</v>
      </c>
    </row>
    <row r="759" spans="1:13">
      <c r="B759" s="21">
        <f t="shared" ref="B759" si="741">QUOTIENT( D759-1,$G$20)+1</f>
        <v>1</v>
      </c>
      <c r="C759" s="21">
        <f t="shared" ref="C759" si="742">D759-(B759-1)*$G$20</f>
        <v>184</v>
      </c>
      <c r="D759" s="21">
        <f>COUNT($D$26:$D758)+1</f>
        <v>184</v>
      </c>
      <c r="E759" s="21">
        <f t="shared" si="714"/>
        <v>759</v>
      </c>
      <c r="F759" s="9" t="s">
        <v>143</v>
      </c>
      <c r="M759" s="21">
        <v>180011</v>
      </c>
    </row>
    <row r="760" spans="1:13">
      <c r="A760" s="21" t="s">
        <v>228</v>
      </c>
      <c r="E760" s="21">
        <f t="shared" si="714"/>
        <v>760</v>
      </c>
      <c r="F760" s="9" t="s">
        <v>127</v>
      </c>
      <c r="G760" s="21">
        <v>6</v>
      </c>
      <c r="M760" s="21">
        <f t="shared" ref="M760" si="743">C759*G760</f>
        <v>1104</v>
      </c>
    </row>
    <row r="761" spans="1:13">
      <c r="E761" s="21">
        <f t="shared" si="714"/>
        <v>761</v>
      </c>
      <c r="F761" s="9" t="s">
        <v>143</v>
      </c>
      <c r="M761" s="21">
        <v>180012</v>
      </c>
    </row>
    <row r="762" spans="1:13">
      <c r="E762" s="21">
        <f t="shared" si="714"/>
        <v>762</v>
      </c>
      <c r="F762" s="9" t="s">
        <v>127</v>
      </c>
      <c r="G762" s="21">
        <v>6</v>
      </c>
      <c r="M762" s="21">
        <f t="shared" ref="M762" si="744">M760</f>
        <v>1104</v>
      </c>
    </row>
    <row r="763" spans="1:13">
      <c r="B763" s="21">
        <f t="shared" ref="B763" si="745">QUOTIENT( D763-1,$G$20)+1</f>
        <v>1</v>
      </c>
      <c r="C763" s="21">
        <f t="shared" ref="C763" si="746">D763-(B763-1)*$G$20</f>
        <v>185</v>
      </c>
      <c r="D763" s="21">
        <f>COUNT($D$26:$D762)+1</f>
        <v>185</v>
      </c>
      <c r="E763" s="21">
        <f t="shared" si="714"/>
        <v>763</v>
      </c>
      <c r="F763" s="9" t="s">
        <v>143</v>
      </c>
      <c r="M763" s="21">
        <v>180011</v>
      </c>
    </row>
    <row r="764" spans="1:13">
      <c r="A764" s="21" t="s">
        <v>228</v>
      </c>
      <c r="E764" s="21">
        <f t="shared" si="714"/>
        <v>764</v>
      </c>
      <c r="F764" s="9" t="s">
        <v>127</v>
      </c>
      <c r="G764" s="21">
        <v>6</v>
      </c>
      <c r="M764" s="21">
        <f t="shared" ref="M764" si="747">C763*G764</f>
        <v>1110</v>
      </c>
    </row>
    <row r="765" spans="1:13">
      <c r="E765" s="21">
        <f t="shared" si="714"/>
        <v>765</v>
      </c>
      <c r="F765" s="9" t="s">
        <v>143</v>
      </c>
      <c r="M765" s="21">
        <v>180012</v>
      </c>
    </row>
    <row r="766" spans="1:13">
      <c r="E766" s="21">
        <f t="shared" si="714"/>
        <v>766</v>
      </c>
      <c r="F766" s="9" t="s">
        <v>127</v>
      </c>
      <c r="G766" s="21">
        <v>6</v>
      </c>
      <c r="M766" s="21">
        <f t="shared" ref="M766" si="748">M764</f>
        <v>1110</v>
      </c>
    </row>
    <row r="767" spans="1:13">
      <c r="B767" s="21">
        <f t="shared" ref="B767" si="749">QUOTIENT( D767-1,$G$20)+1</f>
        <v>1</v>
      </c>
      <c r="C767" s="21">
        <f t="shared" ref="C767" si="750">D767-(B767-1)*$G$20</f>
        <v>186</v>
      </c>
      <c r="D767" s="21">
        <f>COUNT($D$26:$D766)+1</f>
        <v>186</v>
      </c>
      <c r="E767" s="21">
        <f t="shared" si="714"/>
        <v>767</v>
      </c>
      <c r="F767" s="9" t="s">
        <v>143</v>
      </c>
      <c r="M767" s="21">
        <v>180011</v>
      </c>
    </row>
    <row r="768" spans="1:13">
      <c r="A768" s="21" t="s">
        <v>228</v>
      </c>
      <c r="E768" s="21">
        <f t="shared" si="714"/>
        <v>768</v>
      </c>
      <c r="F768" s="9" t="s">
        <v>127</v>
      </c>
      <c r="G768" s="21">
        <v>6</v>
      </c>
      <c r="M768" s="21">
        <f t="shared" ref="M768" si="751">C767*G768</f>
        <v>1116</v>
      </c>
    </row>
    <row r="769" spans="1:13">
      <c r="E769" s="21">
        <f t="shared" si="714"/>
        <v>769</v>
      </c>
      <c r="F769" s="9" t="s">
        <v>143</v>
      </c>
      <c r="M769" s="21">
        <v>180012</v>
      </c>
    </row>
    <row r="770" spans="1:13">
      <c r="E770" s="21">
        <f t="shared" si="714"/>
        <v>770</v>
      </c>
      <c r="F770" s="9" t="s">
        <v>127</v>
      </c>
      <c r="G770" s="21">
        <v>6</v>
      </c>
      <c r="M770" s="21">
        <f t="shared" ref="M770" si="752">M768</f>
        <v>1116</v>
      </c>
    </row>
    <row r="771" spans="1:13">
      <c r="B771" s="21">
        <f t="shared" ref="B771" si="753">QUOTIENT( D771-1,$G$20)+1</f>
        <v>1</v>
      </c>
      <c r="C771" s="21">
        <f t="shared" ref="C771" si="754">D771-(B771-1)*$G$20</f>
        <v>187</v>
      </c>
      <c r="D771" s="21">
        <f>COUNT($D$26:$D770)+1</f>
        <v>187</v>
      </c>
      <c r="E771" s="21">
        <f t="shared" si="714"/>
        <v>771</v>
      </c>
      <c r="F771" s="9" t="s">
        <v>143</v>
      </c>
      <c r="M771" s="21">
        <v>180011</v>
      </c>
    </row>
    <row r="772" spans="1:13">
      <c r="A772" s="21" t="s">
        <v>228</v>
      </c>
      <c r="E772" s="21">
        <f t="shared" si="714"/>
        <v>772</v>
      </c>
      <c r="F772" s="9" t="s">
        <v>127</v>
      </c>
      <c r="G772" s="21">
        <v>6</v>
      </c>
      <c r="M772" s="21">
        <f t="shared" ref="M772" si="755">C771*G772</f>
        <v>1122</v>
      </c>
    </row>
    <row r="773" spans="1:13">
      <c r="E773" s="21">
        <f t="shared" si="714"/>
        <v>773</v>
      </c>
      <c r="F773" s="9" t="s">
        <v>143</v>
      </c>
      <c r="M773" s="21">
        <v>180012</v>
      </c>
    </row>
    <row r="774" spans="1:13">
      <c r="E774" s="21">
        <f t="shared" si="714"/>
        <v>774</v>
      </c>
      <c r="F774" s="9" t="s">
        <v>127</v>
      </c>
      <c r="G774" s="21">
        <v>6</v>
      </c>
      <c r="M774" s="21">
        <f t="shared" ref="M774" si="756">M772</f>
        <v>1122</v>
      </c>
    </row>
    <row r="775" spans="1:13">
      <c r="B775" s="21">
        <f t="shared" ref="B775" si="757">QUOTIENT( D775-1,$G$20)+1</f>
        <v>1</v>
      </c>
      <c r="C775" s="21">
        <f t="shared" ref="C775" si="758">D775-(B775-1)*$G$20</f>
        <v>188</v>
      </c>
      <c r="D775" s="21">
        <f>COUNT($D$26:$D774)+1</f>
        <v>188</v>
      </c>
      <c r="E775" s="21">
        <f t="shared" si="714"/>
        <v>775</v>
      </c>
      <c r="F775" s="9" t="s">
        <v>143</v>
      </c>
      <c r="M775" s="21">
        <v>180011</v>
      </c>
    </row>
    <row r="776" spans="1:13">
      <c r="A776" s="21" t="s">
        <v>228</v>
      </c>
      <c r="E776" s="21">
        <f t="shared" si="714"/>
        <v>776</v>
      </c>
      <c r="F776" s="9" t="s">
        <v>127</v>
      </c>
      <c r="G776" s="21">
        <v>6</v>
      </c>
      <c r="M776" s="21">
        <f t="shared" ref="M776" si="759">C775*G776</f>
        <v>1128</v>
      </c>
    </row>
    <row r="777" spans="1:13">
      <c r="E777" s="21">
        <f t="shared" si="714"/>
        <v>777</v>
      </c>
      <c r="F777" s="9" t="s">
        <v>143</v>
      </c>
      <c r="M777" s="21">
        <v>180012</v>
      </c>
    </row>
    <row r="778" spans="1:13">
      <c r="E778" s="21">
        <f t="shared" si="714"/>
        <v>778</v>
      </c>
      <c r="F778" s="9" t="s">
        <v>127</v>
      </c>
      <c r="G778" s="21">
        <v>6</v>
      </c>
      <c r="M778" s="21">
        <f t="shared" ref="M778" si="760">M776</f>
        <v>1128</v>
      </c>
    </row>
    <row r="779" spans="1:13">
      <c r="B779" s="21">
        <f t="shared" ref="B779" si="761">QUOTIENT( D779-1,$G$20)+1</f>
        <v>1</v>
      </c>
      <c r="C779" s="21">
        <f t="shared" ref="C779" si="762">D779-(B779-1)*$G$20</f>
        <v>189</v>
      </c>
      <c r="D779" s="21">
        <f>COUNT($D$26:$D778)+1</f>
        <v>189</v>
      </c>
      <c r="E779" s="21">
        <f t="shared" si="714"/>
        <v>779</v>
      </c>
      <c r="F779" s="9" t="s">
        <v>143</v>
      </c>
      <c r="M779" s="21">
        <v>180011</v>
      </c>
    </row>
    <row r="780" spans="1:13">
      <c r="A780" s="21" t="s">
        <v>228</v>
      </c>
      <c r="E780" s="21">
        <f t="shared" si="714"/>
        <v>780</v>
      </c>
      <c r="F780" s="9" t="s">
        <v>127</v>
      </c>
      <c r="G780" s="21">
        <v>6</v>
      </c>
      <c r="M780" s="21">
        <f t="shared" ref="M780" si="763">C779*G780</f>
        <v>1134</v>
      </c>
    </row>
    <row r="781" spans="1:13">
      <c r="E781" s="21">
        <f t="shared" si="714"/>
        <v>781</v>
      </c>
      <c r="F781" s="9" t="s">
        <v>143</v>
      </c>
      <c r="M781" s="21">
        <v>180012</v>
      </c>
    </row>
    <row r="782" spans="1:13">
      <c r="E782" s="21">
        <f t="shared" si="714"/>
        <v>782</v>
      </c>
      <c r="F782" s="9" t="s">
        <v>127</v>
      </c>
      <c r="G782" s="21">
        <v>6</v>
      </c>
      <c r="M782" s="21">
        <f t="shared" ref="M782" si="764">M780</f>
        <v>1134</v>
      </c>
    </row>
    <row r="783" spans="1:13">
      <c r="B783" s="21">
        <f t="shared" ref="B783" si="765">QUOTIENT( D783-1,$G$20)+1</f>
        <v>1</v>
      </c>
      <c r="C783" s="21">
        <f t="shared" ref="C783" si="766">D783-(B783-1)*$G$20</f>
        <v>190</v>
      </c>
      <c r="D783" s="21">
        <f>COUNT($D$26:$D782)+1</f>
        <v>190</v>
      </c>
      <c r="E783" s="21">
        <f t="shared" si="714"/>
        <v>783</v>
      </c>
      <c r="F783" s="9" t="s">
        <v>143</v>
      </c>
      <c r="M783" s="21">
        <v>180011</v>
      </c>
    </row>
    <row r="784" spans="1:13">
      <c r="A784" s="21" t="s">
        <v>228</v>
      </c>
      <c r="E784" s="21">
        <f t="shared" si="714"/>
        <v>784</v>
      </c>
      <c r="F784" s="9" t="s">
        <v>127</v>
      </c>
      <c r="G784" s="21">
        <v>6</v>
      </c>
      <c r="M784" s="21">
        <f t="shared" ref="M784" si="767">C783*G784</f>
        <v>1140</v>
      </c>
    </row>
    <row r="785" spans="1:13">
      <c r="E785" s="21">
        <f t="shared" si="714"/>
        <v>785</v>
      </c>
      <c r="F785" s="9" t="s">
        <v>143</v>
      </c>
      <c r="M785" s="21">
        <v>180012</v>
      </c>
    </row>
    <row r="786" spans="1:13">
      <c r="E786" s="21">
        <f t="shared" si="714"/>
        <v>786</v>
      </c>
      <c r="F786" s="9" t="s">
        <v>127</v>
      </c>
      <c r="G786" s="21">
        <v>6</v>
      </c>
      <c r="M786" s="21">
        <f t="shared" ref="M786" si="768">M784</f>
        <v>1140</v>
      </c>
    </row>
    <row r="787" spans="1:13">
      <c r="B787" s="21">
        <f t="shared" ref="B787" si="769">QUOTIENT( D787-1,$G$20)+1</f>
        <v>1</v>
      </c>
      <c r="C787" s="21">
        <f t="shared" ref="C787" si="770">D787-(B787-1)*$G$20</f>
        <v>191</v>
      </c>
      <c r="D787" s="21">
        <f>COUNT($D$26:$D786)+1</f>
        <v>191</v>
      </c>
      <c r="E787" s="21">
        <f t="shared" si="714"/>
        <v>787</v>
      </c>
      <c r="F787" s="9" t="s">
        <v>143</v>
      </c>
      <c r="M787" s="21">
        <v>180011</v>
      </c>
    </row>
    <row r="788" spans="1:13">
      <c r="A788" s="21" t="s">
        <v>228</v>
      </c>
      <c r="E788" s="21">
        <f t="shared" si="714"/>
        <v>788</v>
      </c>
      <c r="F788" s="9" t="s">
        <v>127</v>
      </c>
      <c r="G788" s="21">
        <v>6</v>
      </c>
      <c r="M788" s="21">
        <f t="shared" ref="M788" si="771">C787*G788</f>
        <v>1146</v>
      </c>
    </row>
    <row r="789" spans="1:13">
      <c r="E789" s="21">
        <f t="shared" si="714"/>
        <v>789</v>
      </c>
      <c r="F789" s="9" t="s">
        <v>143</v>
      </c>
      <c r="M789" s="21">
        <v>180012</v>
      </c>
    </row>
    <row r="790" spans="1:13">
      <c r="E790" s="21">
        <f t="shared" si="714"/>
        <v>790</v>
      </c>
      <c r="F790" s="9" t="s">
        <v>127</v>
      </c>
      <c r="G790" s="21">
        <v>6</v>
      </c>
      <c r="M790" s="21">
        <f t="shared" ref="M790" si="772">M788</f>
        <v>1146</v>
      </c>
    </row>
    <row r="791" spans="1:13">
      <c r="B791" s="21">
        <f t="shared" ref="B791" si="773">QUOTIENT( D791-1,$G$20)+1</f>
        <v>1</v>
      </c>
      <c r="C791" s="21">
        <f t="shared" ref="C791" si="774">D791-(B791-1)*$G$20</f>
        <v>192</v>
      </c>
      <c r="D791" s="21">
        <f>COUNT($D$26:$D790)+1</f>
        <v>192</v>
      </c>
      <c r="E791" s="21">
        <f t="shared" si="714"/>
        <v>791</v>
      </c>
      <c r="F791" s="9" t="s">
        <v>143</v>
      </c>
      <c r="M791" s="21">
        <v>180011</v>
      </c>
    </row>
    <row r="792" spans="1:13">
      <c r="A792" s="21" t="s">
        <v>228</v>
      </c>
      <c r="E792" s="21">
        <f t="shared" si="714"/>
        <v>792</v>
      </c>
      <c r="F792" s="9" t="s">
        <v>127</v>
      </c>
      <c r="G792" s="21">
        <v>6</v>
      </c>
      <c r="M792" s="21">
        <f t="shared" ref="M792" si="775">C791*G792</f>
        <v>1152</v>
      </c>
    </row>
    <row r="793" spans="1:13">
      <c r="E793" s="21">
        <f t="shared" si="714"/>
        <v>793</v>
      </c>
      <c r="F793" s="9" t="s">
        <v>143</v>
      </c>
      <c r="M793" s="21">
        <v>180012</v>
      </c>
    </row>
    <row r="794" spans="1:13">
      <c r="E794" s="21">
        <f t="shared" si="714"/>
        <v>794</v>
      </c>
      <c r="F794" s="9" t="s">
        <v>127</v>
      </c>
      <c r="G794" s="21">
        <v>6</v>
      </c>
      <c r="M794" s="21">
        <f t="shared" ref="M794" si="776">M792</f>
        <v>1152</v>
      </c>
    </row>
    <row r="795" spans="1:13">
      <c r="B795" s="21">
        <f t="shared" ref="B795" si="777">QUOTIENT( D795-1,$G$20)+1</f>
        <v>1</v>
      </c>
      <c r="C795" s="21">
        <f t="shared" ref="C795" si="778">D795-(B795-1)*$G$20</f>
        <v>193</v>
      </c>
      <c r="D795" s="21">
        <f>COUNT($D$26:$D794)+1</f>
        <v>193</v>
      </c>
      <c r="E795" s="21">
        <f t="shared" ref="E795:E826" si="779">ROW(E795)</f>
        <v>795</v>
      </c>
      <c r="F795" s="9" t="s">
        <v>143</v>
      </c>
      <c r="M795" s="21">
        <v>180011</v>
      </c>
    </row>
    <row r="796" spans="1:13">
      <c r="A796" s="21" t="s">
        <v>228</v>
      </c>
      <c r="E796" s="21">
        <f t="shared" si="779"/>
        <v>796</v>
      </c>
      <c r="F796" s="9" t="s">
        <v>127</v>
      </c>
      <c r="G796" s="21">
        <v>6</v>
      </c>
      <c r="M796" s="21">
        <f t="shared" ref="M796" si="780">C795*G796</f>
        <v>1158</v>
      </c>
    </row>
    <row r="797" spans="1:13">
      <c r="E797" s="21">
        <f t="shared" si="779"/>
        <v>797</v>
      </c>
      <c r="F797" s="9" t="s">
        <v>143</v>
      </c>
      <c r="M797" s="21">
        <v>180012</v>
      </c>
    </row>
    <row r="798" spans="1:13">
      <c r="E798" s="21">
        <f t="shared" si="779"/>
        <v>798</v>
      </c>
      <c r="F798" s="9" t="s">
        <v>127</v>
      </c>
      <c r="G798" s="21">
        <v>6</v>
      </c>
      <c r="M798" s="21">
        <f t="shared" ref="M798" si="781">M796</f>
        <v>1158</v>
      </c>
    </row>
    <row r="799" spans="1:13">
      <c r="B799" s="21">
        <f t="shared" ref="B799" si="782">QUOTIENT( D799-1,$G$20)+1</f>
        <v>1</v>
      </c>
      <c r="C799" s="21">
        <f t="shared" ref="C799" si="783">D799-(B799-1)*$G$20</f>
        <v>194</v>
      </c>
      <c r="D799" s="21">
        <f>COUNT($D$26:$D798)+1</f>
        <v>194</v>
      </c>
      <c r="E799" s="21">
        <f t="shared" si="779"/>
        <v>799</v>
      </c>
      <c r="F799" s="9" t="s">
        <v>143</v>
      </c>
      <c r="M799" s="21">
        <v>180011</v>
      </c>
    </row>
    <row r="800" spans="1:13">
      <c r="A800" s="21" t="s">
        <v>228</v>
      </c>
      <c r="E800" s="21">
        <f t="shared" si="779"/>
        <v>800</v>
      </c>
      <c r="F800" s="9" t="s">
        <v>127</v>
      </c>
      <c r="G800" s="21">
        <v>6</v>
      </c>
      <c r="M800" s="21">
        <f t="shared" ref="M800" si="784">C799*G800</f>
        <v>1164</v>
      </c>
    </row>
    <row r="801" spans="1:13">
      <c r="E801" s="21">
        <f t="shared" si="779"/>
        <v>801</v>
      </c>
      <c r="F801" s="9" t="s">
        <v>143</v>
      </c>
      <c r="M801" s="21">
        <v>180012</v>
      </c>
    </row>
    <row r="802" spans="1:13">
      <c r="E802" s="21">
        <f t="shared" si="779"/>
        <v>802</v>
      </c>
      <c r="F802" s="9" t="s">
        <v>127</v>
      </c>
      <c r="G802" s="21">
        <v>6</v>
      </c>
      <c r="M802" s="21">
        <f t="shared" ref="M802" si="785">M800</f>
        <v>1164</v>
      </c>
    </row>
    <row r="803" spans="1:13">
      <c r="B803" s="21">
        <f t="shared" ref="B803" si="786">QUOTIENT( D803-1,$G$20)+1</f>
        <v>1</v>
      </c>
      <c r="C803" s="21">
        <f t="shared" ref="C803" si="787">D803-(B803-1)*$G$20</f>
        <v>195</v>
      </c>
      <c r="D803" s="21">
        <f>COUNT($D$26:$D802)+1</f>
        <v>195</v>
      </c>
      <c r="E803" s="21">
        <f t="shared" si="779"/>
        <v>803</v>
      </c>
      <c r="F803" s="9" t="s">
        <v>143</v>
      </c>
      <c r="M803" s="21">
        <v>180011</v>
      </c>
    </row>
    <row r="804" spans="1:13">
      <c r="A804" s="21" t="s">
        <v>228</v>
      </c>
      <c r="E804" s="21">
        <f t="shared" si="779"/>
        <v>804</v>
      </c>
      <c r="F804" s="9" t="s">
        <v>127</v>
      </c>
      <c r="G804" s="21">
        <v>6</v>
      </c>
      <c r="M804" s="21">
        <f t="shared" ref="M804" si="788">C803*G804</f>
        <v>1170</v>
      </c>
    </row>
    <row r="805" spans="1:13">
      <c r="E805" s="21">
        <f t="shared" si="779"/>
        <v>805</v>
      </c>
      <c r="F805" s="9" t="s">
        <v>143</v>
      </c>
      <c r="M805" s="21">
        <v>180012</v>
      </c>
    </row>
    <row r="806" spans="1:13">
      <c r="E806" s="21">
        <f t="shared" si="779"/>
        <v>806</v>
      </c>
      <c r="F806" s="9" t="s">
        <v>127</v>
      </c>
      <c r="G806" s="21">
        <v>6</v>
      </c>
      <c r="M806" s="21">
        <f t="shared" ref="M806" si="789">M804</f>
        <v>1170</v>
      </c>
    </row>
    <row r="807" spans="1:13">
      <c r="B807" s="21">
        <f t="shared" ref="B807" si="790">QUOTIENT( D807-1,$G$20)+1</f>
        <v>1</v>
      </c>
      <c r="C807" s="21">
        <f t="shared" ref="C807" si="791">D807-(B807-1)*$G$20</f>
        <v>196</v>
      </c>
      <c r="D807" s="21">
        <f>COUNT($D$26:$D806)+1</f>
        <v>196</v>
      </c>
      <c r="E807" s="21">
        <f t="shared" si="779"/>
        <v>807</v>
      </c>
      <c r="F807" s="9" t="s">
        <v>143</v>
      </c>
      <c r="M807" s="21">
        <v>180011</v>
      </c>
    </row>
    <row r="808" spans="1:13">
      <c r="A808" s="21" t="s">
        <v>228</v>
      </c>
      <c r="E808" s="21">
        <f t="shared" si="779"/>
        <v>808</v>
      </c>
      <c r="F808" s="9" t="s">
        <v>127</v>
      </c>
      <c r="G808" s="21">
        <v>6</v>
      </c>
      <c r="M808" s="21">
        <f t="shared" ref="M808" si="792">C807*G808</f>
        <v>1176</v>
      </c>
    </row>
    <row r="809" spans="1:13">
      <c r="E809" s="21">
        <f t="shared" si="779"/>
        <v>809</v>
      </c>
      <c r="F809" s="9" t="s">
        <v>143</v>
      </c>
      <c r="M809" s="21">
        <v>180012</v>
      </c>
    </row>
    <row r="810" spans="1:13">
      <c r="E810" s="21">
        <f t="shared" si="779"/>
        <v>810</v>
      </c>
      <c r="F810" s="9" t="s">
        <v>127</v>
      </c>
      <c r="G810" s="21">
        <v>6</v>
      </c>
      <c r="M810" s="21">
        <f t="shared" ref="M810" si="793">M808</f>
        <v>1176</v>
      </c>
    </row>
    <row r="811" spans="1:13">
      <c r="B811" s="21">
        <f t="shared" ref="B811" si="794">QUOTIENT( D811-1,$G$20)+1</f>
        <v>1</v>
      </c>
      <c r="C811" s="21">
        <f t="shared" ref="C811" si="795">D811-(B811-1)*$G$20</f>
        <v>197</v>
      </c>
      <c r="D811" s="21">
        <f>COUNT($D$26:$D810)+1</f>
        <v>197</v>
      </c>
      <c r="E811" s="21">
        <f t="shared" si="779"/>
        <v>811</v>
      </c>
      <c r="F811" s="9" t="s">
        <v>143</v>
      </c>
      <c r="M811" s="21">
        <v>180011</v>
      </c>
    </row>
    <row r="812" spans="1:13">
      <c r="A812" s="21" t="s">
        <v>228</v>
      </c>
      <c r="E812" s="21">
        <f t="shared" si="779"/>
        <v>812</v>
      </c>
      <c r="F812" s="9" t="s">
        <v>127</v>
      </c>
      <c r="G812" s="21">
        <v>6</v>
      </c>
      <c r="M812" s="21">
        <f t="shared" ref="M812" si="796">C811*G812</f>
        <v>1182</v>
      </c>
    </row>
    <row r="813" spans="1:13">
      <c r="E813" s="21">
        <f t="shared" si="779"/>
        <v>813</v>
      </c>
      <c r="F813" s="9" t="s">
        <v>143</v>
      </c>
      <c r="M813" s="21">
        <v>180012</v>
      </c>
    </row>
    <row r="814" spans="1:13">
      <c r="E814" s="21">
        <f t="shared" si="779"/>
        <v>814</v>
      </c>
      <c r="F814" s="9" t="s">
        <v>127</v>
      </c>
      <c r="G814" s="21">
        <v>6</v>
      </c>
      <c r="M814" s="21">
        <f t="shared" ref="M814" si="797">M812</f>
        <v>1182</v>
      </c>
    </row>
    <row r="815" spans="1:13">
      <c r="B815" s="21">
        <f t="shared" ref="B815" si="798">QUOTIENT( D815-1,$G$20)+1</f>
        <v>1</v>
      </c>
      <c r="C815" s="21">
        <f t="shared" ref="C815" si="799">D815-(B815-1)*$G$20</f>
        <v>198</v>
      </c>
      <c r="D815" s="21">
        <f>COUNT($D$26:$D814)+1</f>
        <v>198</v>
      </c>
      <c r="E815" s="21">
        <f t="shared" si="779"/>
        <v>815</v>
      </c>
      <c r="F815" s="9" t="s">
        <v>143</v>
      </c>
      <c r="M815" s="21">
        <v>180011</v>
      </c>
    </row>
    <row r="816" spans="1:13">
      <c r="A816" s="21" t="s">
        <v>228</v>
      </c>
      <c r="E816" s="21">
        <f t="shared" si="779"/>
        <v>816</v>
      </c>
      <c r="F816" s="9" t="s">
        <v>127</v>
      </c>
      <c r="G816" s="21">
        <v>6</v>
      </c>
      <c r="M816" s="21">
        <f t="shared" ref="M816" si="800">C815*G816</f>
        <v>1188</v>
      </c>
    </row>
    <row r="817" spans="1:13">
      <c r="E817" s="21">
        <f t="shared" si="779"/>
        <v>817</v>
      </c>
      <c r="F817" s="9" t="s">
        <v>143</v>
      </c>
      <c r="M817" s="21">
        <v>180012</v>
      </c>
    </row>
    <row r="818" spans="1:13">
      <c r="E818" s="21">
        <f t="shared" si="779"/>
        <v>818</v>
      </c>
      <c r="F818" s="9" t="s">
        <v>127</v>
      </c>
      <c r="G818" s="21">
        <v>6</v>
      </c>
      <c r="M818" s="21">
        <f t="shared" ref="M818" si="801">M816</f>
        <v>1188</v>
      </c>
    </row>
    <row r="819" spans="1:13">
      <c r="B819" s="21">
        <f t="shared" ref="B819" si="802">QUOTIENT( D819-1,$G$20)+1</f>
        <v>1</v>
      </c>
      <c r="C819" s="21">
        <f t="shared" ref="C819" si="803">D819-(B819-1)*$G$20</f>
        <v>199</v>
      </c>
      <c r="D819" s="21">
        <f>COUNT($D$26:$D818)+1</f>
        <v>199</v>
      </c>
      <c r="E819" s="21">
        <f t="shared" si="779"/>
        <v>819</v>
      </c>
      <c r="F819" s="9" t="s">
        <v>143</v>
      </c>
      <c r="M819" s="21">
        <v>180011</v>
      </c>
    </row>
    <row r="820" spans="1:13">
      <c r="A820" s="21" t="s">
        <v>228</v>
      </c>
      <c r="E820" s="21">
        <f t="shared" si="779"/>
        <v>820</v>
      </c>
      <c r="F820" s="9" t="s">
        <v>127</v>
      </c>
      <c r="G820" s="21">
        <v>6</v>
      </c>
      <c r="M820" s="21">
        <f t="shared" ref="M820" si="804">C819*G820</f>
        <v>1194</v>
      </c>
    </row>
    <row r="821" spans="1:13">
      <c r="E821" s="21">
        <f t="shared" si="779"/>
        <v>821</v>
      </c>
      <c r="F821" s="9" t="s">
        <v>143</v>
      </c>
      <c r="M821" s="21">
        <v>180012</v>
      </c>
    </row>
    <row r="822" spans="1:13">
      <c r="E822" s="21">
        <f t="shared" si="779"/>
        <v>822</v>
      </c>
      <c r="F822" s="9" t="s">
        <v>127</v>
      </c>
      <c r="G822" s="21">
        <v>6</v>
      </c>
      <c r="M822" s="21">
        <f t="shared" ref="M822" si="805">M820</f>
        <v>1194</v>
      </c>
    </row>
    <row r="823" spans="1:13">
      <c r="B823" s="21">
        <f t="shared" ref="B823" si="806">QUOTIENT( D823-1,$G$20)+1</f>
        <v>1</v>
      </c>
      <c r="C823" s="21">
        <f t="shared" ref="C823" si="807">D823-(B823-1)*$G$20</f>
        <v>200</v>
      </c>
      <c r="D823" s="21">
        <f>COUNT($D$26:$D822)+1</f>
        <v>200</v>
      </c>
      <c r="E823" s="21">
        <f t="shared" si="779"/>
        <v>823</v>
      </c>
      <c r="F823" s="9" t="s">
        <v>143</v>
      </c>
      <c r="M823" s="21">
        <v>180011</v>
      </c>
    </row>
    <row r="824" spans="1:13">
      <c r="A824" s="21" t="s">
        <v>228</v>
      </c>
      <c r="E824" s="21">
        <f t="shared" si="779"/>
        <v>824</v>
      </c>
      <c r="F824" s="9" t="s">
        <v>127</v>
      </c>
      <c r="G824" s="21">
        <v>6</v>
      </c>
      <c r="M824" s="21">
        <f t="shared" ref="M824" si="808">C823*G824</f>
        <v>1200</v>
      </c>
    </row>
    <row r="825" spans="1:13">
      <c r="E825" s="21">
        <f t="shared" si="779"/>
        <v>825</v>
      </c>
      <c r="F825" s="9" t="s">
        <v>143</v>
      </c>
      <c r="M825" s="21">
        <v>180012</v>
      </c>
    </row>
    <row r="826" spans="1:13">
      <c r="E826" s="21">
        <f t="shared" si="779"/>
        <v>826</v>
      </c>
      <c r="F826" s="9" t="s">
        <v>127</v>
      </c>
      <c r="G826" s="21">
        <v>6</v>
      </c>
      <c r="M826" s="21">
        <f t="shared" ref="M826" si="809">M824</f>
        <v>1200</v>
      </c>
    </row>
  </sheetData>
  <phoneticPr fontId="2" type="noConversion"/>
  <conditionalFormatting sqref="BE1:XFD1 E1:I1">
    <cfRule type="duplicateValues" dxfId="56" priority="1876"/>
  </conditionalFormatting>
  <conditionalFormatting sqref="F1:F10 F13">
    <cfRule type="cellIs" dxfId="55" priority="1377" operator="equal">
      <formula>"ID"</formula>
    </cfRule>
    <cfRule type="cellIs" dxfId="54" priority="1792" operator="equal">
      <formula>"行動序號"</formula>
    </cfRule>
  </conditionalFormatting>
  <conditionalFormatting sqref="J1">
    <cfRule type="duplicateValues" dxfId="53" priority="1375"/>
  </conditionalFormatting>
  <conditionalFormatting sqref="K1:L1">
    <cfRule type="duplicateValues" dxfId="52" priority="1372"/>
  </conditionalFormatting>
  <conditionalFormatting sqref="M1:M13 J22 M16:M1048576">
    <cfRule type="expression" dxfId="51" priority="987">
      <formula>_xlfn.ISFORMULA(J1)</formula>
    </cfRule>
  </conditionalFormatting>
  <conditionalFormatting sqref="N1:BD1">
    <cfRule type="duplicateValues" dxfId="50" priority="1892"/>
  </conditionalFormatting>
  <conditionalFormatting sqref="F11:F12">
    <cfRule type="cellIs" dxfId="49" priority="97" operator="equal">
      <formula>"ID"</formula>
    </cfRule>
    <cfRule type="cellIs" dxfId="48" priority="98" operator="equal">
      <formula>"行動序號"</formula>
    </cfRule>
  </conditionalFormatting>
  <conditionalFormatting sqref="F1:F13 F16:F1048576">
    <cfRule type="cellIs" dxfId="47" priority="90" operator="equal">
      <formula>"ID"</formula>
    </cfRule>
    <cfRule type="cellIs" dxfId="46" priority="91" operator="equal">
      <formula>"行動ID"</formula>
    </cfRule>
  </conditionalFormatting>
  <conditionalFormatting sqref="M1:M13 M16:M1048576">
    <cfRule type="expression" dxfId="45" priority="51">
      <formula>AND(_xlfn.ISFORMULA(M1),OR($F1="行動ID", $F1="ID"))</formula>
    </cfRule>
    <cfRule type="expression" dxfId="44" priority="53">
      <formula>OR($F1="行動ID", $F1="ID")</formula>
    </cfRule>
  </conditionalFormatting>
  <conditionalFormatting sqref="J20:J26">
    <cfRule type="expression" dxfId="43" priority="12">
      <formula>_xlfn.ISFORMULA(J20)</formula>
    </cfRule>
  </conditionalFormatting>
  <conditionalFormatting sqref="J20">
    <cfRule type="expression" dxfId="42" priority="13">
      <formula>OR($F18="行動序號",$F18="ID")</formula>
    </cfRule>
  </conditionalFormatting>
  <conditionalFormatting sqref="J20">
    <cfRule type="expression" dxfId="41" priority="14">
      <formula>$F18="行動ID"</formula>
    </cfRule>
  </conditionalFormatting>
  <conditionalFormatting sqref="J22">
    <cfRule type="expression" dxfId="40" priority="1924">
      <formula>OR(#REF!="行動序號",#REF!="ID")</formula>
    </cfRule>
  </conditionalFormatting>
  <conditionalFormatting sqref="J22">
    <cfRule type="expression" dxfId="39" priority="1925">
      <formula>#REF!="行動ID"</formula>
    </cfRule>
  </conditionalFormatting>
  <dataValidations count="1">
    <dataValidation type="list" allowBlank="1" showInputMessage="1" showErrorMessage="1" sqref="K8 L5:L6 F10 K4 F25 L25 L18:L19 K26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145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146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229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147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148</v>
      </c>
      <c r="C17" s="7" t="s">
        <v>230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149</v>
      </c>
      <c r="E20" t="str">
        <f t="shared" si="0"/>
        <v>啟動依ID,</v>
      </c>
      <c r="H20"/>
    </row>
    <row r="21" spans="1:8">
      <c r="A21" s="7" t="s">
        <v>27</v>
      </c>
      <c r="B21" s="7" t="s">
        <v>150</v>
      </c>
      <c r="C21" s="7" t="s">
        <v>151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152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153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154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155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156</v>
      </c>
      <c r="C26" s="7" t="s">
        <v>157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158</v>
      </c>
      <c r="C27" s="7" t="s">
        <v>159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160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161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162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163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164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165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166</v>
      </c>
      <c r="C36" s="7" t="s">
        <v>167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168</v>
      </c>
      <c r="C37" s="7" t="s">
        <v>169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170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171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172</v>
      </c>
      <c r="E42" t="str">
        <f t="shared" si="0"/>
        <v>死亡時間,</v>
      </c>
      <c r="H42"/>
    </row>
    <row r="43" spans="1:8">
      <c r="A43" s="7" t="s">
        <v>27</v>
      </c>
      <c r="B43" s="7" t="s">
        <v>226</v>
      </c>
      <c r="C43" s="7" t="s">
        <v>227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173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174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175</v>
      </c>
      <c r="E48" t="str">
        <f t="shared" si="0"/>
        <v>位置參數,</v>
      </c>
      <c r="H48"/>
    </row>
    <row r="49" spans="1:8">
      <c r="A49" s="7" t="s">
        <v>27</v>
      </c>
      <c r="B49" s="7" t="s">
        <v>176</v>
      </c>
      <c r="C49" s="7" t="s">
        <v>177</v>
      </c>
      <c r="E49" t="str">
        <f t="shared" si="0"/>
        <v>加位置,</v>
      </c>
      <c r="H49"/>
    </row>
    <row r="50" spans="1:8">
      <c r="A50" s="7" t="s">
        <v>27</v>
      </c>
      <c r="B50" s="7" t="s">
        <v>236</v>
      </c>
      <c r="C50" s="7" t="s">
        <v>237</v>
      </c>
      <c r="E50" t="str">
        <f t="shared" si="0"/>
        <v>記錄位置,</v>
      </c>
      <c r="H50"/>
    </row>
    <row r="51" spans="1:8">
      <c r="A51" s="7" t="s">
        <v>27</v>
      </c>
      <c r="B51" s="7" t="s">
        <v>238</v>
      </c>
      <c r="C51" s="7" t="s">
        <v>239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178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179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180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181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182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183</v>
      </c>
      <c r="C59" s="7" t="s">
        <v>184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185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231</v>
      </c>
      <c r="C61" s="7" t="s">
        <v>232</v>
      </c>
      <c r="E61" t="str">
        <f t="shared" si="0"/>
        <v>子旋轉角度,</v>
      </c>
      <c r="H61"/>
    </row>
    <row r="62" spans="1:8">
      <c r="A62" s="7" t="s">
        <v>27</v>
      </c>
      <c r="B62" s="24" t="s">
        <v>233</v>
      </c>
      <c r="C62" s="7" t="s">
        <v>234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240</v>
      </c>
      <c r="C63" s="7" t="s">
        <v>241</v>
      </c>
      <c r="E63" t="str">
        <f t="shared" si="0"/>
        <v>記錄角度,</v>
      </c>
      <c r="H63"/>
    </row>
    <row r="64" spans="1:8">
      <c r="A64" s="7" t="s">
        <v>27</v>
      </c>
      <c r="B64" s="7" t="s">
        <v>243</v>
      </c>
      <c r="C64" s="7" t="s">
        <v>242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186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187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188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189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190</v>
      </c>
      <c r="C73" s="7" t="s">
        <v>191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192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193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194</v>
      </c>
      <c r="E76" t="str">
        <f t="shared" si="0"/>
        <v>回收距離,</v>
      </c>
      <c r="H76"/>
    </row>
    <row r="77" spans="1:11">
      <c r="A77" s="7" t="s">
        <v>27</v>
      </c>
      <c r="B77" s="7" t="s">
        <v>195</v>
      </c>
      <c r="C77" s="7" t="s">
        <v>196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197</v>
      </c>
      <c r="C78" s="7" t="s">
        <v>198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199</v>
      </c>
      <c r="C79" s="7" t="s">
        <v>200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201</v>
      </c>
      <c r="C80" s="7" t="s">
        <v>202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203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204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205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206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207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208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209</v>
      </c>
      <c r="C91" s="7" t="s">
        <v>210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211</v>
      </c>
      <c r="C92" s="7" t="s">
        <v>212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213</v>
      </c>
      <c r="C93" s="7" t="s">
        <v>214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215</v>
      </c>
      <c r="C94" s="7" t="s">
        <v>216</v>
      </c>
      <c r="E94" t="str">
        <f t="shared" si="1"/>
        <v>玩家Shift,</v>
      </c>
      <c r="H94"/>
    </row>
    <row r="95" spans="1:11">
      <c r="A95" s="7" t="s">
        <v>27</v>
      </c>
      <c r="B95" s="7" t="s">
        <v>217</v>
      </c>
      <c r="C95" s="7" t="s">
        <v>218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219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220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221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222</v>
      </c>
      <c r="C114" s="7" t="s">
        <v>22</v>
      </c>
      <c r="D114" s="7"/>
      <c r="L114" s="7"/>
    </row>
    <row r="115" spans="1:12">
      <c r="A115" s="7" t="s">
        <v>141</v>
      </c>
      <c r="B115" s="7" t="s">
        <v>223</v>
      </c>
      <c r="C115" s="7" t="s">
        <v>23</v>
      </c>
      <c r="H115"/>
    </row>
    <row r="116" spans="1:12">
      <c r="A116" s="7" t="s">
        <v>141</v>
      </c>
      <c r="B116" s="7" t="s">
        <v>244</v>
      </c>
      <c r="C116" s="7" t="s">
        <v>24</v>
      </c>
      <c r="H116"/>
    </row>
    <row r="117" spans="1:12">
      <c r="A117" s="7" t="s">
        <v>141</v>
      </c>
      <c r="B117" s="7" t="s">
        <v>246</v>
      </c>
      <c r="C117" s="7" t="s">
        <v>247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224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225</v>
      </c>
      <c r="D4" s="19"/>
      <c r="G4" s="9"/>
      <c r="H4" s="18"/>
    </row>
    <row r="5" spans="1:10" ht="17.25" customHeight="1">
      <c r="A5" s="19" t="s">
        <v>100</v>
      </c>
      <c r="B5" s="19" t="s">
        <v>219</v>
      </c>
      <c r="C5" s="19" t="s">
        <v>222</v>
      </c>
      <c r="D5" s="19"/>
      <c r="G5" s="9"/>
    </row>
    <row r="6" spans="1:10">
      <c r="A6" s="19" t="s">
        <v>103</v>
      </c>
      <c r="B6" s="19" t="s">
        <v>220</v>
      </c>
      <c r="C6" s="19" t="s">
        <v>223</v>
      </c>
      <c r="D6" s="19"/>
      <c r="G6" s="9"/>
    </row>
    <row r="7" spans="1:10">
      <c r="A7" s="19" t="s">
        <v>48</v>
      </c>
      <c r="B7" s="19" t="s">
        <v>221</v>
      </c>
      <c r="C7" s="23" t="s">
        <v>244</v>
      </c>
      <c r="D7" s="19"/>
      <c r="G7" s="9"/>
    </row>
    <row r="8" spans="1:10">
      <c r="A8" s="19" t="s">
        <v>146</v>
      </c>
      <c r="B8" s="23"/>
      <c r="C8" s="7" t="s">
        <v>246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229</v>
      </c>
      <c r="B10" s="19"/>
      <c r="C10" s="19"/>
      <c r="D10" s="19"/>
      <c r="G10" s="9"/>
    </row>
    <row r="11" spans="1:10">
      <c r="A11" s="19" t="s">
        <v>147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148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150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156</v>
      </c>
      <c r="C26"/>
      <c r="G26" s="9"/>
    </row>
    <row r="27" spans="1:7">
      <c r="A27" s="19" t="s">
        <v>158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166</v>
      </c>
      <c r="C36"/>
    </row>
    <row r="37" spans="1:7">
      <c r="A37" s="19" t="s">
        <v>168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226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176</v>
      </c>
      <c r="C49"/>
      <c r="G49" s="9"/>
    </row>
    <row r="50" spans="1:8">
      <c r="A50" s="24" t="s">
        <v>240</v>
      </c>
      <c r="C50"/>
      <c r="G50" s="9"/>
    </row>
    <row r="51" spans="1:8">
      <c r="A51" s="24" t="s">
        <v>245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235</v>
      </c>
      <c r="C57"/>
      <c r="G57" s="9"/>
    </row>
    <row r="58" spans="1:8">
      <c r="A58" s="19" t="s">
        <v>133</v>
      </c>
      <c r="G58" s="9"/>
    </row>
    <row r="59" spans="1:8">
      <c r="A59" s="19" t="s">
        <v>183</v>
      </c>
      <c r="G59" s="9"/>
    </row>
    <row r="60" spans="1:8">
      <c r="A60" s="19" t="s">
        <v>115</v>
      </c>
      <c r="G60" s="9"/>
    </row>
    <row r="61" spans="1:8">
      <c r="A61" s="24" t="s">
        <v>231</v>
      </c>
      <c r="G61" s="9"/>
    </row>
    <row r="62" spans="1:8">
      <c r="A62" s="24" t="s">
        <v>233</v>
      </c>
      <c r="G62" s="9"/>
    </row>
    <row r="63" spans="1:8">
      <c r="A63" s="24" t="s">
        <v>240</v>
      </c>
      <c r="G63" s="9"/>
    </row>
    <row r="64" spans="1:8">
      <c r="A64" s="24" t="s">
        <v>243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190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195</v>
      </c>
      <c r="G77" s="9"/>
    </row>
    <row r="78" spans="1:7">
      <c r="A78" s="19" t="s">
        <v>197</v>
      </c>
      <c r="G78" s="9"/>
    </row>
    <row r="79" spans="1:7">
      <c r="A79" s="19" t="s">
        <v>199</v>
      </c>
    </row>
    <row r="80" spans="1:7">
      <c r="A80" s="19" t="s">
        <v>201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209</v>
      </c>
    </row>
    <row r="92" spans="1:1">
      <c r="A92" s="19" t="s">
        <v>211</v>
      </c>
    </row>
    <row r="93" spans="1:1">
      <c r="A93" s="19" t="s">
        <v>213</v>
      </c>
    </row>
    <row r="94" spans="1:1">
      <c r="A94" s="19" t="s">
        <v>215</v>
      </c>
    </row>
    <row r="95" spans="1:1">
      <c r="A95" s="19" t="s">
        <v>217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stage7_notcard10shot2_1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2025-04-23T08:25:22Z</dcterms:modified>
</cp:coreProperties>
</file>