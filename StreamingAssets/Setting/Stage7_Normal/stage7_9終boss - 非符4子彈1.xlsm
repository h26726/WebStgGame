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9CDD5E86-7BD0-400D-806F-AB2662169FF5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notcard4shot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93" l="1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D123" i="1" l="1"/>
  <c r="E132" i="1"/>
  <c r="E131" i="1"/>
  <c r="E130" i="1"/>
  <c r="E129" i="1"/>
  <c r="E128" i="1"/>
  <c r="E127" i="1"/>
  <c r="E126" i="1"/>
  <c r="E125" i="1"/>
  <c r="E124" i="1"/>
  <c r="A122" i="1"/>
  <c r="E101" i="1"/>
  <c r="M100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1" i="1"/>
  <c r="M80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1" i="1"/>
  <c r="M60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114" i="1"/>
  <c r="E119" i="1"/>
  <c r="E118" i="1"/>
  <c r="E41" i="1"/>
  <c r="E39" i="1"/>
  <c r="E38" i="1"/>
  <c r="E37" i="1"/>
  <c r="E36" i="1"/>
  <c r="M40" i="1"/>
  <c r="E40" i="1"/>
  <c r="E35" i="1"/>
  <c r="D108" i="1"/>
  <c r="E26" i="1"/>
  <c r="E27" i="1"/>
  <c r="E117" i="1"/>
  <c r="E113" i="1"/>
  <c r="E112" i="1"/>
  <c r="E111" i="1"/>
  <c r="E110" i="1"/>
  <c r="E109" i="1"/>
  <c r="A107" i="1"/>
  <c r="M17" i="1"/>
  <c r="E17" i="1"/>
  <c r="E30" i="1"/>
  <c r="E29" i="1"/>
  <c r="A21" i="1"/>
  <c r="B123" i="1" l="1"/>
  <c r="C123" i="1" s="1"/>
  <c r="E13" i="1" l="1"/>
  <c r="E12" i="1"/>
  <c r="D22" i="1" l="1"/>
  <c r="D42" i="1" l="1"/>
  <c r="M23" i="1"/>
  <c r="B22" i="1"/>
  <c r="C22" i="1" s="1"/>
  <c r="M31" i="1" s="1" a="1"/>
  <c r="M31" i="1" s="1"/>
  <c r="D62" i="1" l="1"/>
  <c r="D82" i="1" s="1"/>
  <c r="M43" i="1"/>
  <c r="B42" i="1"/>
  <c r="C42" i="1" s="1"/>
  <c r="M51" i="1" s="1" a="1"/>
  <c r="M51" i="1" s="1"/>
  <c r="M35" i="1"/>
  <c r="M38" i="1" s="1"/>
  <c r="M36" i="1"/>
  <c r="E16" i="1"/>
  <c r="M55" i="1" l="1"/>
  <c r="M58" i="1" s="1"/>
  <c r="M56" i="1"/>
  <c r="M83" i="1"/>
  <c r="B82" i="1"/>
  <c r="C82" i="1" s="1"/>
  <c r="M91" i="1" s="1" a="1"/>
  <c r="M91" i="1" s="1"/>
  <c r="M63" i="1"/>
  <c r="B62" i="1"/>
  <c r="C62" i="1" s="1"/>
  <c r="M71" i="1" s="1" a="1"/>
  <c r="M71" i="1" s="1"/>
  <c r="E14" i="1"/>
  <c r="E11" i="1"/>
  <c r="E15" i="1"/>
  <c r="M76" i="1" l="1"/>
  <c r="M75" i="1"/>
  <c r="M78" i="1" s="1"/>
  <c r="M96" i="1"/>
  <c r="M95" i="1"/>
  <c r="M98" i="1" s="1"/>
  <c r="B108" i="1"/>
  <c r="C108" i="1" s="1"/>
  <c r="M109" i="1"/>
  <c r="E34" i="1"/>
  <c r="E33" i="1" l="1"/>
  <c r="E24" i="1"/>
  <c r="E25" i="1"/>
  <c r="E28" i="1"/>
  <c r="E31" i="1"/>
  <c r="E32" i="1"/>
  <c r="E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<sst xmlns="http://schemas.openxmlformats.org/spreadsheetml/2006/main" count="590" uniqueCount="270">
  <si>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</si>
  <si>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</si>
  <si>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</si>
  <si>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</si>
  <si>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</si>
  <si>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</si>
  <si>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</si>
  <si>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</si>
  <si>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</si>
  <si>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</si>
  <si>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</si>
  <si>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</si>
  <si>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</si>
  <si>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</si>
  <si>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</si>
  <si>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</si>
  <si>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</si>
  <si>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</si>
  <si>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</si>
  <si>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</si>
  <si>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</si>
  <si>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</si>
  <si>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</si>
  <si>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</si>
  <si>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</si>
  <si>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</si>
  <si>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</si>
  <si>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</si>
  <si>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</si>
  <si>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</si>
  <si>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</si>
  <si>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</si>
  <si>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</si>
  <si>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</si>
  <si>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</si>
  <si>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</si>
  <si>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</si>
  <si>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</si>
  <si>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</si>
  <si>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</si>
  <si>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</si>
  <si>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</si>
  <si>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</si>
  <si>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</si>
  <si>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</si>
  <si>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</si>
  <si>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</si>
  <si>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</si>
  <si>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</si>
  <si>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</si>
  <si>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</si>
  <si>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</si>
  <si>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</si>
  <si>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</si>
  <si>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</si>
  <si>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</si>
  <si>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</si>
  <si>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</si>
  <si>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</si>
  <si>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</si>
  <si>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</si>
  <si>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</si>
  <si>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</si>
  <si>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</si>
  <si>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</si>
  <si>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</si>
  <si>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</si>
  <si>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</si>
  <si>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</si>
  <si>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</si>
  <si>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</si>
  <si>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</si>
  <si>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</si>
  <si>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</si>
  <si>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</si>
  <si>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</si>
  <si>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</si>
  <si>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</si>
  <si>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</si>
  <si>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</si>
  <si>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</si>
  <si>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</si>
  <si>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</si>
  <si>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</si>
  <si>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</si>
  <si>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</si>
  <si>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</si>
  <si>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</si>
  <si>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</si>
  <si>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</si>
  <si>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</si>
  <si>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</si>
  <si>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</si>
  <si>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</si>
  <si>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</si>
  <si>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</si>
  <si>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</si>
  <si>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</si>
  <si>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</si>
  <si>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</si>
  <si>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</si>
  <si>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</si>
  <si>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</si>
  <si>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</si>
  <si>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</si>
  <si>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</si>
  <si>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</si>
  <si>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</si>
  <si>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</si>
  <si>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</si>
  <si>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</si>
  <si>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</si>
  <si>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</si>
  <si>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</si>
  <si>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</si>
  <si>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</si>
  <si>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</si>
  <si>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</si>
  <si>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</si>
  <si>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</si>
  <si>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</si>
  <si>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</si>
  <si>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</si>
  <si>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</si>
  <si>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</si>
  <si>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</si>
  <si>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</si>
  <si>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</si>
  <si>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</si>
  <si>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</si>
  <si>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</si>
  <si>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</si>
  <si>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</si>
  <si>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</si>
  <si>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</si>
  <si>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</si>
  <si>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</si>
  <si>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</si>
  <si>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</si>
  <si>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</si>
  <si>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</si>
  <si>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</si>
  <si>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</si>
  <si>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</si>
  <si>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</si>
  <si>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移位置</t>
    <phoneticPr fontId="2" type="noConversion"/>
  </si>
  <si>
    <t>EnemyShot3</t>
  </si>
  <si>
    <t>回收距離</t>
    <phoneticPr fontId="2" type="noConversion"/>
  </si>
  <si>
    <t>Empty</t>
  </si>
  <si>
    <t>Shot3_blue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</si>
  <si>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</si>
  <si>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</si>
  <si>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</si>
  <si>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</si>
  <si>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</si>
  <si>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</si>
  <si>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</si>
  <si>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</si>
  <si>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</si>
  <si>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</si>
  <si>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</si>
  <si>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</si>
  <si>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</si>
  <si>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</si>
  <si>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</si>
  <si>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</si>
  <si>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</si>
  <si>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</si>
  <si>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</si>
  <si>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</si>
  <si>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</si>
  <si>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</si>
  <si>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</si>
  <si>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</si>
  <si>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</si>
  <si>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</si>
  <si>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</si>
  <si>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</si>
  <si>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</si>
  <si>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</si>
  <si>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</si>
  <si>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</si>
  <si>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</si>
  <si>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</si>
  <si>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</si>
  <si>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</si>
  <si>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</si>
  <si>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</si>
  <si>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</si>
  <si>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</si>
  <si>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</si>
  <si>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</si>
  <si>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</si>
  <si>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</si>
  <si>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</si>
  <si>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</si>
  <si>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</si>
  <si>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</si>
  <si>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</si>
  <si>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</si>
  <si>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</si>
  <si>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</si>
  <si>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</si>
  <si>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</si>
  <si>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</si>
  <si>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</si>
  <si>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</si>
  <si>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</si>
  <si>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</si>
  <si>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</si>
  <si>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</si>
  <si>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</si>
  <si>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</si>
  <si>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</si>
  <si>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</si>
  <si>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</si>
  <si>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</si>
  <si>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</si>
  <si>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</si>
  <si>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</si>
  <si>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</si>
  <si>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</si>
  <si>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</si>
  <si>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</si>
  <si>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</si>
  <si>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</si>
  <si>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</si>
  <si>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</si>
  <si>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</si>
  <si>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</si>
  <si>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</si>
  <si>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</si>
  <si>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</si>
  <si>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</si>
  <si>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</si>
  <si>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</si>
  <si>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</si>
  <si>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</si>
  <si>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</si>
  <si>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</si>
  <si>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</si>
  <si>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啟動依ID</t>
    <phoneticPr fontId="2" type="noConversion"/>
  </si>
  <si>
    <t>子加旋轉角度</t>
  </si>
  <si>
    <t>4.3,0</t>
  </si>
  <si>
    <t>4.3,0</t>
    <phoneticPr fontId="2" type="noConversion"/>
  </si>
  <si>
    <t>-4.3,0</t>
  </si>
  <si>
    <t>-4.3,0</t>
    <phoneticPr fontId="2" type="noConversion"/>
  </si>
  <si>
    <t>0,4.3</t>
  </si>
  <si>
    <t>0,4.3</t>
    <phoneticPr fontId="2" type="noConversion"/>
  </si>
  <si>
    <t>0,-4.3</t>
  </si>
  <si>
    <t>0,-4.3</t>
    <phoneticPr fontId="2" type="noConversion"/>
  </si>
  <si>
    <t>上下左右四基準彈</t>
    <phoneticPr fontId="2" type="noConversion"/>
  </si>
  <si>
    <t>射中彈</t>
    <phoneticPr fontId="2" type="noConversion"/>
  </si>
  <si>
    <t>1,5</t>
    <phoneticPr fontId="2" type="noConversion"/>
  </si>
  <si>
    <t>EnemyShot2</t>
    <phoneticPr fontId="2" type="noConversion"/>
  </si>
  <si>
    <t>Shot2_purple</t>
    <phoneticPr fontId="2" type="noConversion"/>
  </si>
  <si>
    <t>BOSS彈</t>
    <phoneticPr fontId="2" type="noConversion"/>
  </si>
  <si>
    <t>EnemyShot5</t>
    <phoneticPr fontId="2" type="noConversion"/>
  </si>
  <si>
    <t>Shot5_red</t>
    <phoneticPr fontId="2" type="noConversion"/>
  </si>
  <si>
    <t>1,3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</si>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</sst>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1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579"/>
  <sheetViews>
    <sheetView zoomScale="115" zoomScaleNormal="115" workbookViewId="0">
      <pane ySplit="1" topLeftCell="A112" activePane="bottomLeft" state="frozen"/>
      <selection pane="bottomLeft" activeCell="M121" sqref="M121"/>
    </sheetView>
  </sheetViews>
  <sheetFormatPr defaultRowHeight="19.5"/>
  <cols>
    <col min="1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6.12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56" s="17" customFormat="1">
      <c r="A1" s="23"/>
      <c r="B1" s="23"/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140</v>
      </c>
      <c r="L1" s="17" t="s">
        <v>141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56">
      <c r="E11" s="22">
        <f t="shared" ref="E11:E17" si="0">ROW(E11)</f>
        <v>11</v>
      </c>
      <c r="F11" s="9" t="s">
        <v>93</v>
      </c>
      <c r="G11" s="22">
        <v>1</v>
      </c>
      <c r="M11" s="22">
        <v>13800</v>
      </c>
      <c r="N11" s="22"/>
    </row>
    <row r="12" spans="1:56">
      <c r="E12" s="22">
        <f t="shared" si="0"/>
        <v>12</v>
      </c>
      <c r="F12" s="9" t="s">
        <v>241</v>
      </c>
      <c r="M12" s="22">
        <v>137101</v>
      </c>
      <c r="N12" s="22"/>
    </row>
    <row r="13" spans="1:56">
      <c r="E13" s="22">
        <f t="shared" si="0"/>
        <v>13</v>
      </c>
      <c r="F13" s="9" t="s">
        <v>127</v>
      </c>
      <c r="M13" s="22">
        <v>0</v>
      </c>
      <c r="N13" s="22"/>
    </row>
    <row r="14" spans="1:56">
      <c r="E14" s="22">
        <f t="shared" si="0"/>
        <v>14</v>
      </c>
      <c r="F14" s="9" t="s">
        <v>96</v>
      </c>
      <c r="M14" s="22" t="s">
        <v>148</v>
      </c>
      <c r="N14" s="22"/>
    </row>
    <row r="15" spans="1:56">
      <c r="E15" s="22">
        <f t="shared" si="0"/>
        <v>15</v>
      </c>
      <c r="F15" s="9" t="s">
        <v>145</v>
      </c>
      <c r="K15" s="9" t="s">
        <v>138</v>
      </c>
      <c r="M15" s="22">
        <v>5</v>
      </c>
      <c r="N15" s="22"/>
    </row>
    <row r="16" spans="1:56">
      <c r="E16" s="22">
        <f t="shared" si="0"/>
        <v>16</v>
      </c>
      <c r="F16" s="9" t="s">
        <v>242</v>
      </c>
      <c r="L16" s="9" t="s">
        <v>135</v>
      </c>
      <c r="M16" s="22">
        <v>60</v>
      </c>
      <c r="N16" s="22"/>
    </row>
    <row r="17" spans="1:13">
      <c r="E17" s="22">
        <f t="shared" si="0"/>
        <v>17</v>
      </c>
      <c r="F17" s="9" t="s">
        <v>143</v>
      </c>
      <c r="M17" s="22">
        <f>M11</f>
        <v>13800</v>
      </c>
    </row>
    <row r="21" spans="1:13">
      <c r="A21" s="22">
        <f>G23*H23</f>
        <v>4</v>
      </c>
      <c r="B21" s="16" t="s">
        <v>251</v>
      </c>
      <c r="C21" s="9"/>
      <c r="D21" s="9"/>
    </row>
    <row r="22" spans="1:13">
      <c r="A22" s="9" t="s">
        <v>233</v>
      </c>
      <c r="B22" s="22">
        <f>QUOTIENT( D22-1,G23)+1</f>
        <v>1</v>
      </c>
      <c r="C22" s="22">
        <f>D22-(B22-1)*G23</f>
        <v>1</v>
      </c>
      <c r="D22" s="22">
        <f>COUNT($D21:$D$21)+1</f>
        <v>1</v>
      </c>
    </row>
    <row r="23" spans="1:13">
      <c r="E23" s="22">
        <f t="shared" ref="E23:E86" si="1">ROW(E23)</f>
        <v>23</v>
      </c>
      <c r="F23" s="9" t="s">
        <v>93</v>
      </c>
      <c r="G23" s="22">
        <v>4</v>
      </c>
      <c r="H23" s="22">
        <v>1</v>
      </c>
      <c r="J23" s="22">
        <v>13900</v>
      </c>
      <c r="M23" s="22">
        <f>J23+D22</f>
        <v>13901</v>
      </c>
    </row>
    <row r="24" spans="1:13">
      <c r="E24" s="22">
        <f t="shared" si="1"/>
        <v>24</v>
      </c>
      <c r="F24" s="9" t="s">
        <v>143</v>
      </c>
      <c r="M24" s="22">
        <v>13800</v>
      </c>
    </row>
    <row r="25" spans="1:13">
      <c r="E25" s="22">
        <f t="shared" si="1"/>
        <v>25</v>
      </c>
      <c r="F25" s="9" t="s">
        <v>127</v>
      </c>
      <c r="M25" s="22">
        <v>0</v>
      </c>
    </row>
    <row r="26" spans="1:13">
      <c r="E26" s="22">
        <f t="shared" si="1"/>
        <v>26</v>
      </c>
      <c r="F26" s="9" t="s">
        <v>35</v>
      </c>
      <c r="M26" s="22">
        <v>0</v>
      </c>
    </row>
    <row r="27" spans="1:13">
      <c r="E27" s="22">
        <f t="shared" si="1"/>
        <v>27</v>
      </c>
      <c r="F27" s="9" t="s">
        <v>96</v>
      </c>
      <c r="M27" s="22" t="s">
        <v>146</v>
      </c>
    </row>
    <row r="28" spans="1:13">
      <c r="E28" s="22">
        <f t="shared" si="1"/>
        <v>28</v>
      </c>
      <c r="F28" s="9" t="s">
        <v>119</v>
      </c>
      <c r="M28" s="22" t="s">
        <v>149</v>
      </c>
    </row>
    <row r="29" spans="1:13">
      <c r="E29" s="22">
        <f t="shared" si="1"/>
        <v>29</v>
      </c>
      <c r="F29" s="9" t="s">
        <v>200</v>
      </c>
      <c r="M29" s="28">
        <v>0.25</v>
      </c>
    </row>
    <row r="30" spans="1:13">
      <c r="E30" s="22">
        <f t="shared" si="1"/>
        <v>30</v>
      </c>
      <c r="F30" s="9" t="s">
        <v>202</v>
      </c>
      <c r="M30" s="22">
        <v>40</v>
      </c>
    </row>
    <row r="31" spans="1:13">
      <c r="E31" s="22">
        <f t="shared" si="1"/>
        <v>31</v>
      </c>
      <c r="F31" s="9" t="s">
        <v>145</v>
      </c>
      <c r="G31" s="9" t="s">
        <v>244</v>
      </c>
      <c r="H31" s="9" t="s">
        <v>246</v>
      </c>
      <c r="I31" s="9" t="s">
        <v>248</v>
      </c>
      <c r="J31" s="9" t="s">
        <v>250</v>
      </c>
      <c r="K31" s="9" t="s">
        <v>137</v>
      </c>
      <c r="M31" s="22" t="str" cm="1">
        <f t="array" ref="M31">_xlfn.SWITCH(C22,1,G31,2,H31,3,I31,4,J31)</f>
        <v>4.3,0</v>
      </c>
    </row>
    <row r="32" spans="1:13">
      <c r="E32" s="22">
        <f t="shared" si="1"/>
        <v>32</v>
      </c>
      <c r="F32" s="9" t="s">
        <v>117</v>
      </c>
      <c r="K32" s="9" t="s">
        <v>138</v>
      </c>
      <c r="M32" s="22">
        <v>2</v>
      </c>
    </row>
    <row r="33" spans="1:13">
      <c r="E33" s="22">
        <f t="shared" si="1"/>
        <v>33</v>
      </c>
      <c r="F33" s="9" t="s">
        <v>147</v>
      </c>
      <c r="M33" s="22">
        <v>10000</v>
      </c>
    </row>
    <row r="34" spans="1:13">
      <c r="E34" s="22">
        <f t="shared" si="1"/>
        <v>34</v>
      </c>
      <c r="F34" s="9" t="s">
        <v>118</v>
      </c>
      <c r="M34" s="22" t="b">
        <v>1</v>
      </c>
    </row>
    <row r="35" spans="1:13">
      <c r="E35" s="22">
        <f t="shared" si="1"/>
        <v>35</v>
      </c>
      <c r="F35" s="9" t="s">
        <v>102</v>
      </c>
      <c r="M35" s="22">
        <f>M23*10+1</f>
        <v>139011</v>
      </c>
    </row>
    <row r="36" spans="1:13">
      <c r="E36" s="22">
        <f t="shared" si="1"/>
        <v>36</v>
      </c>
      <c r="F36" s="9" t="s">
        <v>143</v>
      </c>
      <c r="M36" s="22">
        <f>M23</f>
        <v>13901</v>
      </c>
    </row>
    <row r="37" spans="1:13">
      <c r="E37" s="22">
        <f t="shared" si="1"/>
        <v>37</v>
      </c>
      <c r="F37" s="9" t="s">
        <v>128</v>
      </c>
      <c r="M37" s="22">
        <v>0</v>
      </c>
    </row>
    <row r="38" spans="1:13">
      <c r="E38" s="22">
        <f t="shared" si="1"/>
        <v>38</v>
      </c>
      <c r="F38" s="9" t="s">
        <v>143</v>
      </c>
      <c r="M38" s="22">
        <f>M35</f>
        <v>139011</v>
      </c>
    </row>
    <row r="39" spans="1:13">
      <c r="E39" s="22">
        <f t="shared" si="1"/>
        <v>39</v>
      </c>
      <c r="F39" s="9" t="s">
        <v>128</v>
      </c>
      <c r="M39" s="22">
        <v>0</v>
      </c>
    </row>
    <row r="40" spans="1:13">
      <c r="E40" s="22">
        <f>ROW(E40)</f>
        <v>40</v>
      </c>
      <c r="F40" s="9" t="s">
        <v>173</v>
      </c>
      <c r="M40" s="22">
        <f>J23</f>
        <v>13900</v>
      </c>
    </row>
    <row r="41" spans="1:13">
      <c r="E41" s="22">
        <f t="shared" si="1"/>
        <v>41</v>
      </c>
      <c r="F41" s="9" t="s">
        <v>35</v>
      </c>
      <c r="M41" s="22">
        <v>15</v>
      </c>
    </row>
    <row r="42" spans="1:13">
      <c r="A42" s="22" t="s">
        <v>233</v>
      </c>
      <c r="B42" s="22">
        <f t="shared" ref="B42" si="2">QUOTIENT( D42-1,G43)+1</f>
        <v>1</v>
      </c>
      <c r="C42" s="22">
        <f t="shared" ref="C42" si="3">D42-(B42-1)*G43</f>
        <v>2</v>
      </c>
      <c r="D42" s="22">
        <f>COUNT($D$21:$D41)+1</f>
        <v>2</v>
      </c>
    </row>
    <row r="43" spans="1:13">
      <c r="E43" s="22">
        <f t="shared" si="1"/>
        <v>43</v>
      </c>
      <c r="F43" s="9" t="s">
        <v>93</v>
      </c>
      <c r="G43" s="22">
        <v>4</v>
      </c>
      <c r="H43" s="22">
        <v>1</v>
      </c>
      <c r="J43" s="9">
        <v>13900</v>
      </c>
      <c r="M43" s="22">
        <f t="shared" ref="M43" si="4">J43+D42</f>
        <v>13902</v>
      </c>
    </row>
    <row r="44" spans="1:13">
      <c r="E44" s="22">
        <f t="shared" si="1"/>
        <v>44</v>
      </c>
      <c r="F44" s="9" t="s">
        <v>143</v>
      </c>
      <c r="M44" s="22">
        <v>13800</v>
      </c>
    </row>
    <row r="45" spans="1:13">
      <c r="E45" s="22">
        <f t="shared" si="1"/>
        <v>45</v>
      </c>
      <c r="F45" s="9" t="s">
        <v>127</v>
      </c>
      <c r="M45" s="22">
        <v>0</v>
      </c>
    </row>
    <row r="46" spans="1:13">
      <c r="E46" s="22">
        <f t="shared" si="1"/>
        <v>46</v>
      </c>
      <c r="F46" s="9" t="s">
        <v>35</v>
      </c>
      <c r="M46" s="22">
        <v>0</v>
      </c>
    </row>
    <row r="47" spans="1:13">
      <c r="E47" s="22">
        <f t="shared" si="1"/>
        <v>47</v>
      </c>
      <c r="F47" s="9" t="s">
        <v>29</v>
      </c>
      <c r="M47" s="22" t="s">
        <v>146</v>
      </c>
    </row>
    <row r="48" spans="1:13">
      <c r="E48" s="22">
        <f t="shared" si="1"/>
        <v>48</v>
      </c>
      <c r="F48" s="9" t="s">
        <v>119</v>
      </c>
      <c r="M48" s="22" t="s">
        <v>149</v>
      </c>
    </row>
    <row r="49" spans="1:13">
      <c r="E49" s="22">
        <f t="shared" si="1"/>
        <v>49</v>
      </c>
      <c r="F49" s="9" t="s">
        <v>200</v>
      </c>
      <c r="M49" s="22">
        <v>0.25</v>
      </c>
    </row>
    <row r="50" spans="1:13">
      <c r="E50" s="22">
        <f t="shared" si="1"/>
        <v>50</v>
      </c>
      <c r="F50" s="9" t="s">
        <v>202</v>
      </c>
      <c r="M50" s="22">
        <v>40</v>
      </c>
    </row>
    <row r="51" spans="1:13">
      <c r="E51" s="22">
        <f t="shared" si="1"/>
        <v>51</v>
      </c>
      <c r="F51" s="9" t="s">
        <v>99</v>
      </c>
      <c r="G51" s="22" t="s">
        <v>243</v>
      </c>
      <c r="H51" s="22" t="s">
        <v>245</v>
      </c>
      <c r="I51" s="22" t="s">
        <v>247</v>
      </c>
      <c r="J51" s="9" t="s">
        <v>249</v>
      </c>
      <c r="K51" s="9" t="s">
        <v>137</v>
      </c>
      <c r="M51" s="22" t="str" cm="1">
        <f t="array" ref="M51">_xlfn.SWITCH(C42,1,G51,2,H51,3,I51,4,J51)</f>
        <v>-4.3,0</v>
      </c>
    </row>
    <row r="52" spans="1:13">
      <c r="E52" s="22">
        <f t="shared" si="1"/>
        <v>52</v>
      </c>
      <c r="F52" s="9" t="s">
        <v>117</v>
      </c>
      <c r="K52" s="9" t="s">
        <v>138</v>
      </c>
      <c r="M52" s="22">
        <v>2</v>
      </c>
    </row>
    <row r="53" spans="1:13">
      <c r="E53" s="22">
        <f t="shared" si="1"/>
        <v>53</v>
      </c>
      <c r="F53" s="9" t="s">
        <v>126</v>
      </c>
      <c r="M53" s="22">
        <v>10000</v>
      </c>
    </row>
    <row r="54" spans="1:13">
      <c r="E54" s="22">
        <f t="shared" si="1"/>
        <v>54</v>
      </c>
      <c r="F54" s="9" t="s">
        <v>118</v>
      </c>
      <c r="M54" s="22" t="b">
        <v>1</v>
      </c>
    </row>
    <row r="55" spans="1:13">
      <c r="E55" s="22">
        <f t="shared" si="1"/>
        <v>55</v>
      </c>
      <c r="F55" s="9" t="s">
        <v>102</v>
      </c>
      <c r="M55" s="22">
        <f t="shared" ref="M55" si="5">M43*10+1</f>
        <v>139021</v>
      </c>
    </row>
    <row r="56" spans="1:13">
      <c r="E56" s="22">
        <f t="shared" si="1"/>
        <v>56</v>
      </c>
      <c r="F56" s="9" t="s">
        <v>143</v>
      </c>
      <c r="M56" s="22">
        <f t="shared" ref="M56" si="6">M43</f>
        <v>13902</v>
      </c>
    </row>
    <row r="57" spans="1:13">
      <c r="E57" s="22">
        <f t="shared" si="1"/>
        <v>57</v>
      </c>
      <c r="F57" s="9" t="s">
        <v>128</v>
      </c>
      <c r="M57" s="22">
        <v>0</v>
      </c>
    </row>
    <row r="58" spans="1:13">
      <c r="E58" s="22">
        <f t="shared" si="1"/>
        <v>58</v>
      </c>
      <c r="F58" s="9" t="s">
        <v>143</v>
      </c>
      <c r="M58" s="22">
        <f t="shared" ref="M58" si="7">M55</f>
        <v>139021</v>
      </c>
    </row>
    <row r="59" spans="1:13">
      <c r="E59" s="22">
        <f t="shared" si="1"/>
        <v>59</v>
      </c>
      <c r="F59" s="9" t="s">
        <v>128</v>
      </c>
      <c r="M59" s="22">
        <v>0</v>
      </c>
    </row>
    <row r="60" spans="1:13">
      <c r="E60" s="22">
        <f t="shared" si="1"/>
        <v>60</v>
      </c>
      <c r="F60" s="9" t="s">
        <v>173</v>
      </c>
      <c r="M60" s="22">
        <f t="shared" ref="M60" si="8">J43</f>
        <v>13900</v>
      </c>
    </row>
    <row r="61" spans="1:13">
      <c r="E61" s="22">
        <f t="shared" si="1"/>
        <v>61</v>
      </c>
      <c r="F61" s="9" t="s">
        <v>35</v>
      </c>
      <c r="M61" s="22">
        <v>15</v>
      </c>
    </row>
    <row r="62" spans="1:13">
      <c r="A62" s="22" t="s">
        <v>233</v>
      </c>
      <c r="B62" s="22">
        <f t="shared" ref="B62" si="9">QUOTIENT( D62-1,G63)+1</f>
        <v>1</v>
      </c>
      <c r="C62" s="22">
        <f t="shared" ref="C62" si="10">D62-(B62-1)*G63</f>
        <v>3</v>
      </c>
      <c r="D62" s="22">
        <f>COUNT($D$21:$D61)+1</f>
        <v>3</v>
      </c>
    </row>
    <row r="63" spans="1:13">
      <c r="E63" s="22">
        <f t="shared" si="1"/>
        <v>63</v>
      </c>
      <c r="F63" s="9" t="s">
        <v>93</v>
      </c>
      <c r="G63" s="22">
        <v>4</v>
      </c>
      <c r="H63" s="22">
        <v>1</v>
      </c>
      <c r="J63" s="9">
        <v>13900</v>
      </c>
      <c r="M63" s="22">
        <f t="shared" ref="M63" si="11">J63+D62</f>
        <v>13903</v>
      </c>
    </row>
    <row r="64" spans="1:13">
      <c r="E64" s="22">
        <f t="shared" si="1"/>
        <v>64</v>
      </c>
      <c r="F64" s="9" t="s">
        <v>143</v>
      </c>
      <c r="M64" s="22">
        <v>13800</v>
      </c>
    </row>
    <row r="65" spans="5:13">
      <c r="E65" s="22">
        <f t="shared" si="1"/>
        <v>65</v>
      </c>
      <c r="F65" s="9" t="s">
        <v>127</v>
      </c>
      <c r="M65" s="22">
        <v>0</v>
      </c>
    </row>
    <row r="66" spans="5:13">
      <c r="E66" s="22">
        <f t="shared" si="1"/>
        <v>66</v>
      </c>
      <c r="F66" s="9" t="s">
        <v>35</v>
      </c>
      <c r="M66" s="22">
        <v>0</v>
      </c>
    </row>
    <row r="67" spans="5:13">
      <c r="E67" s="22">
        <f t="shared" si="1"/>
        <v>67</v>
      </c>
      <c r="F67" s="9" t="s">
        <v>29</v>
      </c>
      <c r="M67" s="22" t="s">
        <v>146</v>
      </c>
    </row>
    <row r="68" spans="5:13">
      <c r="E68" s="22">
        <f t="shared" si="1"/>
        <v>68</v>
      </c>
      <c r="F68" s="9" t="s">
        <v>119</v>
      </c>
      <c r="M68" s="22" t="s">
        <v>149</v>
      </c>
    </row>
    <row r="69" spans="5:13">
      <c r="E69" s="22">
        <f t="shared" si="1"/>
        <v>69</v>
      </c>
      <c r="F69" s="9" t="s">
        <v>200</v>
      </c>
      <c r="M69" s="22">
        <v>0.25</v>
      </c>
    </row>
    <row r="70" spans="5:13">
      <c r="E70" s="22">
        <f t="shared" si="1"/>
        <v>70</v>
      </c>
      <c r="F70" s="9" t="s">
        <v>202</v>
      </c>
      <c r="M70" s="22">
        <v>40</v>
      </c>
    </row>
    <row r="71" spans="5:13">
      <c r="E71" s="22">
        <f t="shared" si="1"/>
        <v>71</v>
      </c>
      <c r="F71" s="9" t="s">
        <v>99</v>
      </c>
      <c r="G71" s="22" t="s">
        <v>243</v>
      </c>
      <c r="H71" s="22" t="s">
        <v>245</v>
      </c>
      <c r="I71" s="22" t="s">
        <v>247</v>
      </c>
      <c r="J71" s="9" t="s">
        <v>249</v>
      </c>
      <c r="K71" s="9" t="s">
        <v>137</v>
      </c>
      <c r="M71" s="22" t="str" cm="1">
        <f t="array" ref="M71">_xlfn.SWITCH(C62,1,G71,2,H71,3,I71,4,J71)</f>
        <v>0,4.3</v>
      </c>
    </row>
    <row r="72" spans="5:13">
      <c r="E72" s="22">
        <f t="shared" si="1"/>
        <v>72</v>
      </c>
      <c r="F72" s="9" t="s">
        <v>117</v>
      </c>
      <c r="K72" s="9" t="s">
        <v>138</v>
      </c>
      <c r="M72" s="22">
        <v>2</v>
      </c>
    </row>
    <row r="73" spans="5:13">
      <c r="E73" s="22">
        <f t="shared" si="1"/>
        <v>73</v>
      </c>
      <c r="F73" s="9" t="s">
        <v>126</v>
      </c>
      <c r="M73" s="22">
        <v>10000</v>
      </c>
    </row>
    <row r="74" spans="5:13">
      <c r="E74" s="22">
        <f t="shared" si="1"/>
        <v>74</v>
      </c>
      <c r="F74" s="9" t="s">
        <v>118</v>
      </c>
      <c r="M74" s="22" t="b">
        <v>1</v>
      </c>
    </row>
    <row r="75" spans="5:13">
      <c r="E75" s="22">
        <f t="shared" si="1"/>
        <v>75</v>
      </c>
      <c r="F75" s="9" t="s">
        <v>102</v>
      </c>
      <c r="M75" s="22">
        <f t="shared" ref="M75" si="12">M63*10+1</f>
        <v>139031</v>
      </c>
    </row>
    <row r="76" spans="5:13">
      <c r="E76" s="22">
        <f t="shared" si="1"/>
        <v>76</v>
      </c>
      <c r="F76" s="9" t="s">
        <v>143</v>
      </c>
      <c r="M76" s="22">
        <f t="shared" ref="M76" si="13">M63</f>
        <v>13903</v>
      </c>
    </row>
    <row r="77" spans="5:13">
      <c r="E77" s="22">
        <f t="shared" si="1"/>
        <v>77</v>
      </c>
      <c r="F77" s="9" t="s">
        <v>128</v>
      </c>
      <c r="M77" s="22">
        <v>0</v>
      </c>
    </row>
    <row r="78" spans="5:13">
      <c r="E78" s="22">
        <f t="shared" si="1"/>
        <v>78</v>
      </c>
      <c r="F78" s="9" t="s">
        <v>143</v>
      </c>
      <c r="M78" s="22">
        <f t="shared" ref="M78" si="14">M75</f>
        <v>139031</v>
      </c>
    </row>
    <row r="79" spans="5:13">
      <c r="E79" s="22">
        <f t="shared" si="1"/>
        <v>79</v>
      </c>
      <c r="F79" s="9" t="s">
        <v>128</v>
      </c>
      <c r="M79" s="22">
        <v>0</v>
      </c>
    </row>
    <row r="80" spans="5:13">
      <c r="E80" s="22">
        <f t="shared" si="1"/>
        <v>80</v>
      </c>
      <c r="F80" s="9" t="s">
        <v>173</v>
      </c>
      <c r="M80" s="22">
        <f t="shared" ref="M80" si="15">J63</f>
        <v>13900</v>
      </c>
    </row>
    <row r="81" spans="1:13">
      <c r="E81" s="22">
        <f t="shared" si="1"/>
        <v>81</v>
      </c>
      <c r="F81" s="9" t="s">
        <v>35</v>
      </c>
      <c r="M81" s="22">
        <v>15</v>
      </c>
    </row>
    <row r="82" spans="1:13">
      <c r="A82" s="22" t="s">
        <v>233</v>
      </c>
      <c r="B82" s="22">
        <f t="shared" ref="B82" si="16">QUOTIENT( D82-1,G83)+1</f>
        <v>1</v>
      </c>
      <c r="C82" s="22">
        <f t="shared" ref="C82" si="17">D82-(B82-1)*G83</f>
        <v>4</v>
      </c>
      <c r="D82" s="22">
        <f>COUNT($D$21:$D81)+1</f>
        <v>4</v>
      </c>
    </row>
    <row r="83" spans="1:13">
      <c r="E83" s="22">
        <f t="shared" si="1"/>
        <v>83</v>
      </c>
      <c r="F83" s="9" t="s">
        <v>93</v>
      </c>
      <c r="G83" s="22">
        <v>4</v>
      </c>
      <c r="H83" s="22">
        <v>1</v>
      </c>
      <c r="J83" s="9">
        <v>13900</v>
      </c>
      <c r="M83" s="22">
        <f t="shared" ref="M83" si="18">J83+D82</f>
        <v>13904</v>
      </c>
    </row>
    <row r="84" spans="1:13">
      <c r="E84" s="22">
        <f t="shared" si="1"/>
        <v>84</v>
      </c>
      <c r="F84" s="9" t="s">
        <v>143</v>
      </c>
      <c r="M84" s="22">
        <v>13800</v>
      </c>
    </row>
    <row r="85" spans="1:13">
      <c r="E85" s="22">
        <f t="shared" si="1"/>
        <v>85</v>
      </c>
      <c r="F85" s="9" t="s">
        <v>127</v>
      </c>
      <c r="M85" s="22">
        <v>0</v>
      </c>
    </row>
    <row r="86" spans="1:13">
      <c r="E86" s="22">
        <f t="shared" si="1"/>
        <v>86</v>
      </c>
      <c r="F86" s="9" t="s">
        <v>35</v>
      </c>
      <c r="M86" s="22">
        <v>0</v>
      </c>
    </row>
    <row r="87" spans="1:13">
      <c r="E87" s="22">
        <f t="shared" ref="E87:E101" si="19">ROW(E87)</f>
        <v>87</v>
      </c>
      <c r="F87" s="9" t="s">
        <v>29</v>
      </c>
      <c r="M87" s="22" t="s">
        <v>146</v>
      </c>
    </row>
    <row r="88" spans="1:13">
      <c r="E88" s="22">
        <f t="shared" si="19"/>
        <v>88</v>
      </c>
      <c r="F88" s="9" t="s">
        <v>119</v>
      </c>
      <c r="M88" s="22" t="s">
        <v>149</v>
      </c>
    </row>
    <row r="89" spans="1:13">
      <c r="E89" s="22">
        <f t="shared" si="19"/>
        <v>89</v>
      </c>
      <c r="F89" s="9" t="s">
        <v>200</v>
      </c>
      <c r="M89" s="22">
        <v>0.25</v>
      </c>
    </row>
    <row r="90" spans="1:13">
      <c r="E90" s="22">
        <f t="shared" si="19"/>
        <v>90</v>
      </c>
      <c r="F90" s="9" t="s">
        <v>202</v>
      </c>
      <c r="M90" s="22">
        <v>40</v>
      </c>
    </row>
    <row r="91" spans="1:13">
      <c r="E91" s="22">
        <f t="shared" si="19"/>
        <v>91</v>
      </c>
      <c r="F91" s="9" t="s">
        <v>99</v>
      </c>
      <c r="G91" s="22" t="s">
        <v>243</v>
      </c>
      <c r="H91" s="22" t="s">
        <v>245</v>
      </c>
      <c r="I91" s="22" t="s">
        <v>247</v>
      </c>
      <c r="J91" s="9" t="s">
        <v>249</v>
      </c>
      <c r="K91" s="9" t="s">
        <v>137</v>
      </c>
      <c r="M91" s="22" t="str" cm="1">
        <f t="array" ref="M91">_xlfn.SWITCH(C82,1,G91,2,H91,3,I91,4,J91)</f>
        <v>0,-4.3</v>
      </c>
    </row>
    <row r="92" spans="1:13">
      <c r="E92" s="22">
        <f t="shared" si="19"/>
        <v>92</v>
      </c>
      <c r="F92" s="9" t="s">
        <v>117</v>
      </c>
      <c r="K92" s="9" t="s">
        <v>138</v>
      </c>
      <c r="M92" s="22">
        <v>2</v>
      </c>
    </row>
    <row r="93" spans="1:13">
      <c r="E93" s="22">
        <f t="shared" si="19"/>
        <v>93</v>
      </c>
      <c r="F93" s="9" t="s">
        <v>126</v>
      </c>
      <c r="M93" s="22">
        <v>10000</v>
      </c>
    </row>
    <row r="94" spans="1:13">
      <c r="E94" s="22">
        <f t="shared" si="19"/>
        <v>94</v>
      </c>
      <c r="F94" s="9" t="s">
        <v>118</v>
      </c>
      <c r="M94" s="22" t="b">
        <v>1</v>
      </c>
    </row>
    <row r="95" spans="1:13">
      <c r="E95" s="22">
        <f t="shared" si="19"/>
        <v>95</v>
      </c>
      <c r="F95" s="9" t="s">
        <v>102</v>
      </c>
      <c r="M95" s="22">
        <f t="shared" ref="M95" si="20">M83*10+1</f>
        <v>139041</v>
      </c>
    </row>
    <row r="96" spans="1:13">
      <c r="E96" s="22">
        <f t="shared" si="19"/>
        <v>96</v>
      </c>
      <c r="F96" s="9" t="s">
        <v>143</v>
      </c>
      <c r="M96" s="22">
        <f t="shared" ref="M96" si="21">M83</f>
        <v>13904</v>
      </c>
    </row>
    <row r="97" spans="1:13">
      <c r="E97" s="22">
        <f t="shared" si="19"/>
        <v>97</v>
      </c>
      <c r="F97" s="9" t="s">
        <v>128</v>
      </c>
      <c r="M97" s="22">
        <v>0</v>
      </c>
    </row>
    <row r="98" spans="1:13">
      <c r="E98" s="22">
        <f t="shared" si="19"/>
        <v>98</v>
      </c>
      <c r="F98" s="9" t="s">
        <v>143</v>
      </c>
      <c r="M98" s="22">
        <f t="shared" ref="M98" si="22">M95</f>
        <v>139041</v>
      </c>
    </row>
    <row r="99" spans="1:13">
      <c r="E99" s="22">
        <f t="shared" si="19"/>
        <v>99</v>
      </c>
      <c r="F99" s="9" t="s">
        <v>128</v>
      </c>
      <c r="M99" s="22">
        <v>0</v>
      </c>
    </row>
    <row r="100" spans="1:13">
      <c r="E100" s="22">
        <f t="shared" si="19"/>
        <v>100</v>
      </c>
      <c r="F100" s="9" t="s">
        <v>173</v>
      </c>
      <c r="M100" s="22">
        <f t="shared" ref="M100" si="23">J83</f>
        <v>13900</v>
      </c>
    </row>
    <row r="101" spans="1:13">
      <c r="E101" s="22">
        <f t="shared" si="19"/>
        <v>101</v>
      </c>
      <c r="F101" s="9" t="s">
        <v>35</v>
      </c>
      <c r="M101" s="22">
        <v>15</v>
      </c>
    </row>
    <row r="107" spans="1:13">
      <c r="A107" s="22">
        <f>G109*H109</f>
        <v>1</v>
      </c>
      <c r="B107" s="16" t="s">
        <v>252</v>
      </c>
      <c r="C107" s="9"/>
      <c r="D107" s="9"/>
    </row>
    <row r="108" spans="1:13">
      <c r="A108" s="9" t="s">
        <v>233</v>
      </c>
      <c r="B108" s="22">
        <f>QUOTIENT( D108-1,G109)+1</f>
        <v>1</v>
      </c>
      <c r="C108" s="22">
        <f>D108-(B108-1)*G109</f>
        <v>1</v>
      </c>
      <c r="D108" s="22">
        <f>COUNT($D$107:$D107)+1</f>
        <v>1</v>
      </c>
    </row>
    <row r="109" spans="1:13">
      <c r="E109" s="22">
        <f t="shared" ref="E109:E119" si="24">ROW(E109)</f>
        <v>109</v>
      </c>
      <c r="F109" s="9" t="s">
        <v>93</v>
      </c>
      <c r="G109" s="22">
        <v>1</v>
      </c>
      <c r="H109" s="22">
        <v>1</v>
      </c>
      <c r="J109" s="22">
        <v>14000</v>
      </c>
      <c r="M109" s="22">
        <f>J109+D108</f>
        <v>14001</v>
      </c>
    </row>
    <row r="110" spans="1:13">
      <c r="E110" s="22">
        <f t="shared" si="24"/>
        <v>110</v>
      </c>
      <c r="F110" s="9" t="s">
        <v>143</v>
      </c>
      <c r="M110" s="22">
        <v>13900</v>
      </c>
    </row>
    <row r="111" spans="1:13">
      <c r="E111" s="22">
        <f t="shared" si="24"/>
        <v>111</v>
      </c>
      <c r="F111" s="9" t="s">
        <v>127</v>
      </c>
      <c r="M111" s="22">
        <v>0</v>
      </c>
    </row>
    <row r="112" spans="1:13">
      <c r="E112" s="22">
        <f t="shared" si="24"/>
        <v>112</v>
      </c>
      <c r="F112" s="9" t="s">
        <v>96</v>
      </c>
      <c r="M112" s="22" t="s">
        <v>254</v>
      </c>
    </row>
    <row r="113" spans="1:13">
      <c r="E113" s="22">
        <f t="shared" si="24"/>
        <v>113</v>
      </c>
      <c r="F113" s="9" t="s">
        <v>119</v>
      </c>
      <c r="M113" s="22" t="s">
        <v>255</v>
      </c>
    </row>
    <row r="114" spans="1:13">
      <c r="E114" s="22">
        <f t="shared" si="24"/>
        <v>114</v>
      </c>
      <c r="F114" s="9" t="s">
        <v>115</v>
      </c>
      <c r="M114" s="22" t="b">
        <v>1</v>
      </c>
    </row>
    <row r="115" spans="1:13">
      <c r="F115" s="9" t="s">
        <v>200</v>
      </c>
      <c r="M115" s="28">
        <v>0.25</v>
      </c>
    </row>
    <row r="116" spans="1:13">
      <c r="F116" s="9" t="s">
        <v>202</v>
      </c>
      <c r="M116" s="22">
        <v>40</v>
      </c>
    </row>
    <row r="117" spans="1:13">
      <c r="E117" s="22">
        <f t="shared" si="24"/>
        <v>117</v>
      </c>
      <c r="F117" s="9" t="s">
        <v>145</v>
      </c>
      <c r="G117" s="9"/>
      <c r="H117" s="9"/>
      <c r="I117" s="9"/>
      <c r="K117" s="9" t="s">
        <v>138</v>
      </c>
      <c r="M117" s="22">
        <v>2</v>
      </c>
    </row>
    <row r="118" spans="1:13">
      <c r="E118" s="22">
        <f t="shared" si="24"/>
        <v>118</v>
      </c>
      <c r="F118" s="9" t="s">
        <v>116</v>
      </c>
      <c r="M118" s="27">
        <v>2</v>
      </c>
    </row>
    <row r="119" spans="1:13">
      <c r="E119" s="22">
        <f t="shared" si="24"/>
        <v>119</v>
      </c>
      <c r="F119" s="9" t="s">
        <v>31</v>
      </c>
      <c r="L119" s="9" t="s">
        <v>136</v>
      </c>
      <c r="M119" s="27" t="s">
        <v>253</v>
      </c>
    </row>
    <row r="122" spans="1:13">
      <c r="A122" s="22">
        <f>G124*H124</f>
        <v>1</v>
      </c>
      <c r="B122" s="16" t="s">
        <v>256</v>
      </c>
      <c r="C122" s="9"/>
      <c r="D122" s="9"/>
    </row>
    <row r="123" spans="1:13">
      <c r="A123" s="9" t="s">
        <v>233</v>
      </c>
      <c r="B123" s="22">
        <f>QUOTIENT( D123-1,G124)+1</f>
        <v>1</v>
      </c>
      <c r="C123" s="22">
        <f>D123-(B123-1)*G124</f>
        <v>1</v>
      </c>
      <c r="D123" s="22">
        <f>COUNT($D$122:$D122)+1</f>
        <v>1</v>
      </c>
    </row>
    <row r="124" spans="1:13">
      <c r="E124" s="22">
        <f t="shared" ref="E124:E132" si="25">ROW(E124)</f>
        <v>124</v>
      </c>
      <c r="F124" s="9" t="s">
        <v>93</v>
      </c>
      <c r="G124" s="22">
        <v>1</v>
      </c>
      <c r="H124" s="22">
        <v>1</v>
      </c>
      <c r="J124" s="22">
        <v>14000</v>
      </c>
      <c r="M124" s="22">
        <v>14010</v>
      </c>
    </row>
    <row r="125" spans="1:13">
      <c r="E125" s="22">
        <f t="shared" si="25"/>
        <v>125</v>
      </c>
      <c r="F125" s="9" t="s">
        <v>143</v>
      </c>
      <c r="M125" s="22">
        <v>137109</v>
      </c>
    </row>
    <row r="126" spans="1:13">
      <c r="E126" s="22">
        <f t="shared" si="25"/>
        <v>126</v>
      </c>
      <c r="F126" s="9" t="s">
        <v>127</v>
      </c>
      <c r="M126" s="22">
        <v>0</v>
      </c>
    </row>
    <row r="127" spans="1:13">
      <c r="E127" s="22">
        <f t="shared" si="25"/>
        <v>127</v>
      </c>
      <c r="F127" s="9" t="s">
        <v>96</v>
      </c>
      <c r="M127" s="22" t="s">
        <v>257</v>
      </c>
    </row>
    <row r="128" spans="1:13">
      <c r="E128" s="22">
        <f t="shared" si="25"/>
        <v>128</v>
      </c>
      <c r="F128" s="9" t="s">
        <v>119</v>
      </c>
      <c r="M128" s="22" t="s">
        <v>258</v>
      </c>
    </row>
    <row r="129" spans="5:13">
      <c r="E129" s="22">
        <f t="shared" si="25"/>
        <v>129</v>
      </c>
      <c r="F129" s="9" t="s">
        <v>114</v>
      </c>
      <c r="L129" s="9" t="s">
        <v>135</v>
      </c>
      <c r="M129" s="22">
        <v>90</v>
      </c>
    </row>
    <row r="130" spans="5:13">
      <c r="E130" s="22">
        <f t="shared" si="25"/>
        <v>130</v>
      </c>
      <c r="F130" s="9" t="s">
        <v>145</v>
      </c>
      <c r="G130" s="9"/>
      <c r="H130" s="9"/>
      <c r="I130" s="9"/>
      <c r="K130" s="9" t="s">
        <v>138</v>
      </c>
      <c r="M130" s="22">
        <v>2</v>
      </c>
    </row>
    <row r="131" spans="5:13">
      <c r="E131" s="22">
        <f t="shared" si="25"/>
        <v>131</v>
      </c>
      <c r="F131" s="9" t="s">
        <v>30</v>
      </c>
      <c r="M131" s="27">
        <v>2.5</v>
      </c>
    </row>
    <row r="132" spans="5:13">
      <c r="E132" s="22">
        <f t="shared" si="25"/>
        <v>132</v>
      </c>
      <c r="F132" s="9" t="s">
        <v>31</v>
      </c>
      <c r="L132" s="9" t="s">
        <v>136</v>
      </c>
      <c r="M132" s="27" t="s">
        <v>259</v>
      </c>
    </row>
    <row r="191" spans="1:31" s="16" customFormat="1">
      <c r="A191" s="22"/>
      <c r="B191" s="22"/>
      <c r="C191" s="22"/>
      <c r="D191" s="22"/>
      <c r="E191" s="22"/>
      <c r="F191" s="9"/>
      <c r="G191" s="22"/>
      <c r="H191" s="22"/>
      <c r="I191" s="22"/>
      <c r="J191" s="9"/>
      <c r="K191" s="9"/>
      <c r="L191" s="9"/>
      <c r="M191" s="22"/>
      <c r="N191" s="9"/>
      <c r="O191" s="9"/>
      <c r="P191" s="9"/>
      <c r="Q191" s="9"/>
      <c r="R191" s="9"/>
      <c r="S191" s="12"/>
      <c r="T191" s="9"/>
      <c r="U191" s="9"/>
      <c r="V191" s="12"/>
      <c r="W191" s="12"/>
      <c r="X191" s="12"/>
      <c r="Y191" s="15"/>
      <c r="Z191" s="15"/>
      <c r="AA191" s="15"/>
      <c r="AB191" s="15"/>
      <c r="AC191" s="15"/>
      <c r="AD191" s="15"/>
      <c r="AE191" s="15"/>
    </row>
    <row r="192" spans="1:31" s="16" customFormat="1">
      <c r="A192" s="22"/>
      <c r="B192" s="22"/>
      <c r="C192" s="22"/>
      <c r="D192" s="22"/>
      <c r="E192" s="22"/>
      <c r="F192" s="9"/>
      <c r="G192" s="22"/>
      <c r="H192" s="22"/>
      <c r="I192" s="22"/>
      <c r="J192" s="9"/>
      <c r="K192" s="9"/>
      <c r="L192" s="9"/>
      <c r="M192" s="22"/>
      <c r="N192" s="9"/>
      <c r="O192" s="9"/>
      <c r="P192" s="9"/>
      <c r="Q192" s="9"/>
      <c r="R192" s="9"/>
      <c r="S192" s="12"/>
      <c r="T192" s="9"/>
      <c r="U192" s="9"/>
      <c r="V192" s="12"/>
      <c r="W192" s="12"/>
      <c r="X192" s="12"/>
      <c r="Y192" s="15"/>
      <c r="Z192" s="15"/>
      <c r="AA192" s="15"/>
      <c r="AB192" s="15"/>
      <c r="AC192" s="15"/>
      <c r="AD192" s="15"/>
      <c r="AE192" s="15"/>
    </row>
    <row r="193" spans="1:31" s="16" customFormat="1">
      <c r="A193" s="22"/>
      <c r="B193" s="22"/>
      <c r="C193" s="22"/>
      <c r="D193" s="22"/>
      <c r="E193" s="22"/>
      <c r="F193" s="9"/>
      <c r="G193" s="22"/>
      <c r="H193" s="22"/>
      <c r="I193" s="22"/>
      <c r="J193" s="9"/>
      <c r="K193" s="9"/>
      <c r="L193" s="9"/>
      <c r="M193" s="22"/>
      <c r="N193" s="9"/>
      <c r="O193" s="9"/>
      <c r="P193" s="9"/>
      <c r="Q193" s="9"/>
      <c r="R193" s="9"/>
      <c r="S193" s="12"/>
      <c r="T193" s="9"/>
      <c r="U193" s="9"/>
      <c r="V193" s="12"/>
      <c r="W193" s="12"/>
      <c r="X193" s="12"/>
      <c r="Y193" s="15"/>
      <c r="Z193" s="15"/>
      <c r="AA193" s="15"/>
      <c r="AB193" s="15"/>
      <c r="AC193" s="15"/>
      <c r="AD193" s="15"/>
      <c r="AE193" s="15"/>
    </row>
    <row r="194" spans="1:31" s="16" customFormat="1">
      <c r="A194" s="22"/>
      <c r="B194" s="22"/>
      <c r="C194" s="22"/>
      <c r="D194" s="22"/>
      <c r="E194" s="22"/>
      <c r="F194" s="9"/>
      <c r="G194" s="22"/>
      <c r="H194" s="22"/>
      <c r="I194" s="22"/>
      <c r="J194" s="9"/>
      <c r="K194" s="9"/>
      <c r="L194" s="9"/>
      <c r="M194" s="22"/>
      <c r="N194" s="9"/>
      <c r="O194" s="9"/>
      <c r="P194" s="9"/>
      <c r="Q194" s="9"/>
      <c r="R194" s="9"/>
      <c r="S194" s="12"/>
      <c r="T194" s="9"/>
      <c r="U194" s="9"/>
      <c r="V194" s="12"/>
      <c r="W194" s="12"/>
      <c r="X194" s="12"/>
      <c r="Y194" s="15"/>
      <c r="Z194" s="15"/>
      <c r="AA194" s="15"/>
      <c r="AB194" s="15"/>
      <c r="AC194" s="15"/>
      <c r="AD194" s="15"/>
      <c r="AE194" s="15"/>
    </row>
    <row r="195" spans="1:31" s="16" customFormat="1">
      <c r="A195" s="22"/>
      <c r="B195" s="22"/>
      <c r="C195" s="22"/>
      <c r="D195" s="22"/>
      <c r="E195" s="22"/>
      <c r="F195" s="9"/>
      <c r="G195" s="22"/>
      <c r="H195" s="22"/>
      <c r="I195" s="22"/>
      <c r="J195" s="9"/>
      <c r="K195" s="9"/>
      <c r="L195" s="9"/>
      <c r="M195" s="22"/>
      <c r="N195" s="9"/>
      <c r="O195" s="9"/>
      <c r="P195" s="9"/>
      <c r="Q195" s="9"/>
      <c r="R195" s="9"/>
      <c r="S195" s="12"/>
      <c r="T195" s="9"/>
      <c r="U195" s="9"/>
      <c r="V195" s="12"/>
      <c r="W195" s="12"/>
      <c r="X195" s="12"/>
      <c r="Y195" s="15"/>
      <c r="Z195" s="15"/>
      <c r="AA195" s="15"/>
      <c r="AB195" s="15"/>
      <c r="AC195" s="15"/>
      <c r="AD195" s="15"/>
      <c r="AE195" s="15"/>
    </row>
    <row r="196" spans="1:31" s="16" customFormat="1">
      <c r="A196" s="22"/>
      <c r="B196" s="22"/>
      <c r="C196" s="22"/>
      <c r="D196" s="22"/>
      <c r="E196" s="22"/>
      <c r="F196" s="9"/>
      <c r="G196" s="22"/>
      <c r="H196" s="22"/>
      <c r="I196" s="22"/>
      <c r="J196" s="9"/>
      <c r="K196" s="9"/>
      <c r="L196" s="9"/>
      <c r="M196" s="22"/>
      <c r="N196" s="9"/>
      <c r="O196" s="9"/>
      <c r="P196" s="9"/>
      <c r="Q196" s="9"/>
      <c r="R196" s="9"/>
      <c r="S196" s="12"/>
      <c r="T196" s="9"/>
      <c r="U196" s="9"/>
      <c r="V196" s="12"/>
      <c r="W196" s="12"/>
      <c r="X196" s="12"/>
      <c r="Y196" s="15"/>
      <c r="Z196" s="15"/>
      <c r="AA196" s="15"/>
      <c r="AB196" s="15"/>
      <c r="AC196" s="15"/>
      <c r="AD196" s="15"/>
      <c r="AE196" s="15"/>
    </row>
    <row r="223" spans="1:4">
      <c r="B223" s="9"/>
      <c r="C223" s="9"/>
      <c r="D223" s="9"/>
    </row>
    <row r="224" spans="1:4">
      <c r="A224" s="9"/>
    </row>
    <row r="225" spans="10:10">
      <c r="J225" s="22"/>
    </row>
    <row r="237" spans="10:10" ht="20.25" customHeight="1"/>
    <row r="238" spans="10:10" ht="20.25" customHeight="1"/>
    <row r="244" ht="20.25" customHeight="1"/>
    <row r="437" spans="1:31" s="16" customFormat="1">
      <c r="A437" s="22"/>
      <c r="B437" s="22"/>
      <c r="C437" s="22"/>
      <c r="D437" s="22"/>
      <c r="E437" s="22"/>
      <c r="F437" s="9"/>
      <c r="G437" s="22"/>
      <c r="H437" s="22"/>
      <c r="I437" s="22"/>
      <c r="J437" s="9"/>
      <c r="K437" s="9"/>
      <c r="L437" s="9"/>
      <c r="M437" s="22"/>
      <c r="N437" s="22"/>
      <c r="O437" s="9"/>
      <c r="P437" s="9"/>
      <c r="Q437" s="9"/>
      <c r="R437" s="9"/>
      <c r="S437" s="12"/>
      <c r="T437" s="9"/>
      <c r="U437" s="9"/>
      <c r="V437" s="12"/>
      <c r="W437" s="12"/>
      <c r="X437" s="12"/>
      <c r="Y437" s="15"/>
      <c r="Z437" s="15"/>
      <c r="AA437" s="15"/>
      <c r="AB437" s="15"/>
      <c r="AC437" s="15"/>
      <c r="AD437" s="15"/>
      <c r="AE437" s="15"/>
    </row>
    <row r="438" spans="1:31" s="16" customFormat="1">
      <c r="A438" s="22"/>
      <c r="B438" s="22"/>
      <c r="C438" s="22"/>
      <c r="D438" s="22"/>
      <c r="E438" s="22"/>
      <c r="F438" s="9"/>
      <c r="G438" s="22"/>
      <c r="H438" s="22"/>
      <c r="I438" s="22"/>
      <c r="J438" s="9"/>
      <c r="K438" s="9"/>
      <c r="L438" s="9"/>
      <c r="M438" s="22"/>
      <c r="N438" s="22"/>
      <c r="O438" s="9"/>
      <c r="P438" s="9"/>
      <c r="Q438" s="9"/>
      <c r="R438" s="9"/>
      <c r="S438" s="12"/>
      <c r="T438" s="9"/>
      <c r="U438" s="9"/>
      <c r="V438" s="12"/>
      <c r="W438" s="12"/>
      <c r="X438" s="12"/>
      <c r="Y438" s="15"/>
      <c r="Z438" s="15"/>
      <c r="AA438" s="15"/>
      <c r="AB438" s="15"/>
      <c r="AC438" s="15"/>
      <c r="AD438" s="15"/>
      <c r="AE438" s="15"/>
    </row>
    <row r="439" spans="1:31" s="16" customFormat="1">
      <c r="A439" s="22"/>
      <c r="B439" s="22"/>
      <c r="C439" s="22"/>
      <c r="D439" s="22"/>
      <c r="E439" s="22"/>
      <c r="F439" s="9"/>
      <c r="G439" s="22"/>
      <c r="H439" s="22"/>
      <c r="I439" s="22"/>
      <c r="J439" s="9"/>
      <c r="K439" s="9"/>
      <c r="L439" s="9"/>
      <c r="M439" s="22"/>
      <c r="N439" s="22"/>
      <c r="O439" s="9"/>
      <c r="P439" s="9"/>
      <c r="Q439" s="9"/>
      <c r="R439" s="9"/>
      <c r="S439" s="12"/>
      <c r="T439" s="9"/>
      <c r="U439" s="9"/>
      <c r="V439" s="12"/>
      <c r="W439" s="12"/>
      <c r="X439" s="12"/>
      <c r="Y439" s="15"/>
      <c r="Z439" s="15"/>
      <c r="AA439" s="15"/>
      <c r="AB439" s="15"/>
      <c r="AC439" s="15"/>
      <c r="AD439" s="15"/>
      <c r="AE439" s="15"/>
    </row>
    <row r="440" spans="1:31" s="16" customFormat="1">
      <c r="A440" s="22"/>
      <c r="B440" s="22"/>
      <c r="C440" s="22"/>
      <c r="D440" s="22"/>
      <c r="E440" s="22"/>
      <c r="F440" s="9"/>
      <c r="G440" s="22"/>
      <c r="H440" s="22"/>
      <c r="I440" s="22"/>
      <c r="J440" s="9"/>
      <c r="K440" s="9"/>
      <c r="L440" s="9"/>
      <c r="M440" s="22"/>
      <c r="N440" s="22"/>
      <c r="O440" s="9"/>
      <c r="P440" s="9"/>
      <c r="Q440" s="9"/>
      <c r="R440" s="9"/>
      <c r="S440" s="12"/>
      <c r="T440" s="9"/>
      <c r="U440" s="9"/>
      <c r="V440" s="12"/>
      <c r="W440" s="12"/>
      <c r="X440" s="12"/>
      <c r="Y440" s="15"/>
      <c r="Z440" s="15"/>
      <c r="AA440" s="15"/>
      <c r="AB440" s="15"/>
      <c r="AC440" s="15"/>
      <c r="AD440" s="15"/>
      <c r="AE440" s="15"/>
    </row>
    <row r="441" spans="1:31" s="16" customFormat="1">
      <c r="A441" s="22"/>
      <c r="B441" s="22"/>
      <c r="C441" s="22"/>
      <c r="D441" s="22"/>
      <c r="E441" s="22"/>
      <c r="F441" s="9"/>
      <c r="G441" s="22"/>
      <c r="H441" s="22"/>
      <c r="I441" s="22"/>
      <c r="J441" s="9"/>
      <c r="K441" s="9"/>
      <c r="L441" s="9"/>
      <c r="M441" s="22"/>
      <c r="N441" s="22"/>
      <c r="O441" s="9"/>
      <c r="P441" s="9"/>
      <c r="Q441" s="9"/>
      <c r="R441" s="9"/>
      <c r="S441" s="12"/>
      <c r="T441" s="9"/>
      <c r="U441" s="9"/>
      <c r="V441" s="12"/>
      <c r="W441" s="12"/>
      <c r="X441" s="12"/>
      <c r="Y441" s="15"/>
      <c r="Z441" s="15"/>
      <c r="AA441" s="15"/>
      <c r="AB441" s="15"/>
      <c r="AC441" s="15"/>
      <c r="AD441" s="15"/>
      <c r="AE441" s="15"/>
    </row>
    <row r="442" spans="1:31" s="16" customFormat="1">
      <c r="A442" s="22"/>
      <c r="B442" s="22"/>
      <c r="C442" s="22"/>
      <c r="D442" s="22"/>
      <c r="E442" s="22"/>
      <c r="F442" s="9"/>
      <c r="G442" s="22"/>
      <c r="H442" s="22"/>
      <c r="I442" s="22"/>
      <c r="J442" s="9"/>
      <c r="K442" s="9"/>
      <c r="L442" s="9"/>
      <c r="M442" s="22"/>
      <c r="N442" s="22"/>
      <c r="O442" s="9"/>
      <c r="P442" s="9"/>
      <c r="Q442" s="9"/>
      <c r="R442" s="9"/>
      <c r="S442" s="12"/>
      <c r="T442" s="9"/>
      <c r="U442" s="9"/>
      <c r="V442" s="12"/>
      <c r="W442" s="12"/>
      <c r="X442" s="12"/>
      <c r="Y442" s="15"/>
      <c r="Z442" s="15"/>
      <c r="AA442" s="15"/>
      <c r="AB442" s="15"/>
      <c r="AC442" s="15"/>
      <c r="AD442" s="15"/>
      <c r="AE442" s="15"/>
    </row>
    <row r="443" spans="1:31" s="16" customFormat="1">
      <c r="A443" s="22"/>
      <c r="B443" s="22"/>
      <c r="C443" s="22"/>
      <c r="D443" s="22"/>
      <c r="E443" s="22"/>
      <c r="F443" s="9"/>
      <c r="G443" s="22"/>
      <c r="H443" s="22"/>
      <c r="I443" s="22"/>
      <c r="J443" s="9"/>
      <c r="K443" s="9"/>
      <c r="L443" s="9"/>
      <c r="M443" s="22"/>
      <c r="N443" s="22"/>
      <c r="O443" s="9"/>
      <c r="P443" s="9"/>
      <c r="Q443" s="9"/>
      <c r="R443" s="9"/>
      <c r="S443" s="12"/>
      <c r="T443" s="9"/>
      <c r="U443" s="9"/>
      <c r="V443" s="12"/>
      <c r="W443" s="12"/>
      <c r="X443" s="12"/>
      <c r="Y443" s="15"/>
      <c r="Z443" s="15"/>
      <c r="AA443" s="15"/>
      <c r="AB443" s="15"/>
      <c r="AC443" s="15"/>
      <c r="AD443" s="15"/>
      <c r="AE443" s="15"/>
    </row>
    <row r="444" spans="1:31">
      <c r="N444" s="22"/>
    </row>
    <row r="445" spans="1:31">
      <c r="N445" s="22"/>
    </row>
    <row r="446" spans="1:31">
      <c r="N446" s="22"/>
    </row>
    <row r="447" spans="1:31">
      <c r="N447" s="22"/>
    </row>
    <row r="448" spans="1:31">
      <c r="N448" s="22"/>
    </row>
    <row r="449" spans="1:14">
      <c r="N449" s="22"/>
    </row>
    <row r="450" spans="1:14">
      <c r="N450" s="22"/>
    </row>
    <row r="451" spans="1:14">
      <c r="N451" s="22"/>
    </row>
    <row r="452" spans="1:14">
      <c r="N452" s="22"/>
    </row>
    <row r="453" spans="1:14">
      <c r="N453" s="22"/>
    </row>
    <row r="454" spans="1:14">
      <c r="N454" s="22"/>
    </row>
    <row r="458" spans="1:14">
      <c r="B458" s="9"/>
      <c r="C458" s="9"/>
      <c r="D458" s="9"/>
      <c r="M458" s="9"/>
    </row>
    <row r="459" spans="1:14">
      <c r="A459" s="9"/>
    </row>
    <row r="460" spans="1:14">
      <c r="J460" s="22"/>
    </row>
    <row r="471" spans="6:60" s="22" customFormat="1">
      <c r="F471" s="9"/>
      <c r="J471" s="9"/>
      <c r="K471" s="9"/>
      <c r="L471" s="9"/>
      <c r="N471" s="9"/>
      <c r="O471" s="9"/>
      <c r="P471" s="9"/>
      <c r="Q471" s="9"/>
      <c r="R471" s="9"/>
      <c r="S471" s="12"/>
      <c r="T471" s="9"/>
      <c r="U471" s="9"/>
      <c r="V471" s="12"/>
      <c r="W471" s="12"/>
      <c r="X471" s="12"/>
      <c r="Y471" s="15"/>
      <c r="Z471" s="15"/>
      <c r="AA471" s="15"/>
      <c r="AB471" s="15"/>
      <c r="AC471" s="15"/>
      <c r="AD471" s="15"/>
      <c r="AE471" s="15"/>
      <c r="AF471" s="16"/>
      <c r="AG471" s="16"/>
      <c r="AH471" s="16"/>
      <c r="AI471" s="16"/>
      <c r="AJ471" s="16"/>
      <c r="AK471" s="16"/>
      <c r="AL471" s="16"/>
      <c r="AM471" s="16"/>
      <c r="AN471" s="16"/>
      <c r="AO471" s="16"/>
      <c r="AP471" s="16"/>
      <c r="AQ471" s="16"/>
      <c r="AR471" s="16"/>
      <c r="AS471" s="16"/>
      <c r="AT471" s="16"/>
      <c r="AU471" s="16"/>
      <c r="AV471" s="16"/>
      <c r="AW471" s="16"/>
      <c r="AX471" s="16"/>
      <c r="AY471" s="16"/>
      <c r="AZ471" s="16"/>
      <c r="BA471" s="16"/>
      <c r="BB471" s="16"/>
      <c r="BC471" s="16"/>
      <c r="BD471" s="16"/>
      <c r="BE471" s="16"/>
      <c r="BF471" s="16"/>
      <c r="BG471" s="16"/>
      <c r="BH471" s="16"/>
    </row>
    <row r="472" spans="6:60" s="22" customFormat="1">
      <c r="F472" s="9"/>
      <c r="J472" s="9"/>
      <c r="K472" s="9"/>
      <c r="L472" s="9"/>
      <c r="N472" s="9"/>
      <c r="O472" s="9"/>
      <c r="P472" s="9"/>
      <c r="Q472" s="9"/>
      <c r="R472" s="9"/>
      <c r="S472" s="12"/>
      <c r="T472" s="9"/>
      <c r="U472" s="9"/>
      <c r="V472" s="12"/>
      <c r="W472" s="12"/>
      <c r="X472" s="12"/>
      <c r="Y472" s="15"/>
      <c r="Z472" s="15"/>
      <c r="AA472" s="15"/>
      <c r="AB472" s="15"/>
      <c r="AC472" s="15"/>
      <c r="AD472" s="15"/>
      <c r="AE472" s="15"/>
      <c r="AF472" s="16"/>
      <c r="AG472" s="16"/>
      <c r="AH472" s="16"/>
      <c r="AI472" s="16"/>
      <c r="AJ472" s="16"/>
      <c r="AK472" s="16"/>
      <c r="AL472" s="16"/>
      <c r="AM472" s="16"/>
      <c r="AN472" s="16"/>
      <c r="AO472" s="16"/>
      <c r="AP472" s="16"/>
      <c r="AQ472" s="16"/>
      <c r="AR472" s="16"/>
      <c r="AS472" s="16"/>
      <c r="AT472" s="16"/>
      <c r="AU472" s="16"/>
      <c r="AV472" s="16"/>
      <c r="AW472" s="16"/>
      <c r="AX472" s="16"/>
      <c r="AY472" s="16"/>
      <c r="AZ472" s="16"/>
      <c r="BA472" s="16"/>
      <c r="BB472" s="16"/>
      <c r="BC472" s="16"/>
      <c r="BD472" s="16"/>
      <c r="BE472" s="16"/>
      <c r="BF472" s="16"/>
      <c r="BG472" s="16"/>
      <c r="BH472" s="16"/>
    </row>
    <row r="473" spans="6:60" s="22" customFormat="1">
      <c r="F473" s="9"/>
      <c r="J473" s="9"/>
      <c r="K473" s="9"/>
      <c r="L473" s="9"/>
      <c r="N473" s="9"/>
      <c r="O473" s="9"/>
      <c r="P473" s="9"/>
      <c r="Q473" s="9"/>
      <c r="R473" s="9"/>
      <c r="S473" s="12"/>
      <c r="T473" s="9"/>
      <c r="U473" s="9"/>
      <c r="V473" s="12"/>
      <c r="W473" s="12"/>
      <c r="X473" s="12"/>
      <c r="Y473" s="15"/>
      <c r="Z473" s="15"/>
      <c r="AA473" s="15"/>
      <c r="AB473" s="15"/>
      <c r="AC473" s="15"/>
      <c r="AD473" s="15"/>
      <c r="AE473" s="15"/>
      <c r="AF473" s="16"/>
      <c r="AG473" s="16"/>
      <c r="AH473" s="16"/>
      <c r="AI473" s="16"/>
      <c r="AJ473" s="16"/>
      <c r="AK473" s="16"/>
      <c r="AL473" s="16"/>
      <c r="AM473" s="16"/>
      <c r="AN473" s="16"/>
      <c r="AO473" s="16"/>
      <c r="AP473" s="16"/>
      <c r="AQ473" s="16"/>
      <c r="AR473" s="16"/>
      <c r="AS473" s="16"/>
      <c r="AT473" s="16"/>
      <c r="AU473" s="16"/>
      <c r="AV473" s="16"/>
      <c r="AW473" s="16"/>
      <c r="AX473" s="16"/>
      <c r="AY473" s="16"/>
      <c r="AZ473" s="16"/>
      <c r="BA473" s="16"/>
      <c r="BB473" s="16"/>
      <c r="BC473" s="16"/>
      <c r="BD473" s="16"/>
      <c r="BE473" s="16"/>
      <c r="BF473" s="16"/>
      <c r="BG473" s="16"/>
      <c r="BH473" s="16"/>
    </row>
    <row r="475" spans="6:60" s="22" customFormat="1">
      <c r="F475" s="9"/>
      <c r="J475" s="9"/>
      <c r="K475" s="9"/>
      <c r="L475" s="9"/>
      <c r="N475" s="9"/>
      <c r="O475" s="9"/>
      <c r="P475" s="9"/>
      <c r="Q475" s="9"/>
      <c r="R475" s="9"/>
      <c r="S475" s="12"/>
      <c r="T475" s="9"/>
      <c r="U475" s="9"/>
      <c r="V475" s="12"/>
      <c r="W475" s="12"/>
      <c r="X475" s="12"/>
      <c r="Y475" s="15"/>
      <c r="Z475" s="15"/>
      <c r="AA475" s="15"/>
      <c r="AB475" s="15"/>
      <c r="AC475" s="15"/>
      <c r="AD475" s="15"/>
      <c r="AE475" s="15"/>
      <c r="AF475" s="16"/>
      <c r="AG475" s="16"/>
      <c r="AH475" s="16"/>
      <c r="AI475" s="16"/>
      <c r="AJ475" s="16"/>
      <c r="AK475" s="16"/>
      <c r="AL475" s="16"/>
      <c r="AM475" s="16"/>
      <c r="AN475" s="16"/>
      <c r="AO475" s="16"/>
      <c r="AP475" s="16"/>
      <c r="AQ475" s="16"/>
      <c r="AR475" s="16"/>
      <c r="AS475" s="16"/>
      <c r="AT475" s="16"/>
      <c r="AU475" s="16"/>
      <c r="AV475" s="16"/>
      <c r="AW475" s="16"/>
      <c r="AX475" s="16"/>
      <c r="AY475" s="16"/>
      <c r="AZ475" s="16"/>
      <c r="BA475" s="16"/>
      <c r="BB475" s="16"/>
      <c r="BC475" s="16"/>
      <c r="BD475" s="16"/>
      <c r="BE475" s="16"/>
      <c r="BF475" s="16"/>
      <c r="BG475" s="16"/>
      <c r="BH475" s="16"/>
    </row>
    <row r="476" spans="6:60" s="22" customFormat="1">
      <c r="F476" s="9"/>
      <c r="J476" s="9"/>
      <c r="K476" s="9"/>
      <c r="L476" s="9"/>
      <c r="N476" s="9"/>
      <c r="O476" s="9"/>
      <c r="P476" s="9"/>
      <c r="Q476" s="9"/>
      <c r="R476" s="9"/>
      <c r="S476" s="12"/>
      <c r="T476" s="9"/>
      <c r="U476" s="9"/>
      <c r="V476" s="12"/>
      <c r="W476" s="12"/>
      <c r="X476" s="12"/>
      <c r="Y476" s="15"/>
      <c r="Z476" s="15"/>
      <c r="AA476" s="15"/>
      <c r="AB476" s="15"/>
      <c r="AC476" s="15"/>
      <c r="AD476" s="15"/>
      <c r="AE476" s="15"/>
      <c r="AF476" s="16"/>
      <c r="AG476" s="16"/>
      <c r="AH476" s="16"/>
      <c r="AI476" s="16"/>
      <c r="AJ476" s="16"/>
      <c r="AK476" s="16"/>
      <c r="AL476" s="16"/>
      <c r="AM476" s="16"/>
      <c r="AN476" s="16"/>
      <c r="AO476" s="16"/>
      <c r="AP476" s="16"/>
      <c r="AQ476" s="16"/>
      <c r="AR476" s="16"/>
      <c r="AS476" s="16"/>
      <c r="AT476" s="16"/>
      <c r="AU476" s="16"/>
      <c r="AV476" s="16"/>
      <c r="AW476" s="16"/>
      <c r="AX476" s="16"/>
      <c r="AY476" s="16"/>
      <c r="AZ476" s="16"/>
      <c r="BA476" s="16"/>
      <c r="BB476" s="16"/>
      <c r="BC476" s="16"/>
      <c r="BD476" s="16"/>
      <c r="BE476" s="16"/>
      <c r="BF476" s="16"/>
      <c r="BG476" s="16"/>
      <c r="BH476" s="16"/>
    </row>
    <row r="477" spans="6:60" s="22" customFormat="1">
      <c r="F477" s="9"/>
      <c r="J477" s="9"/>
      <c r="K477" s="9"/>
      <c r="L477" s="9"/>
      <c r="N477" s="9"/>
      <c r="O477" s="9"/>
      <c r="P477" s="9"/>
      <c r="Q477" s="9"/>
      <c r="R477" s="9"/>
      <c r="S477" s="12"/>
      <c r="T477" s="9"/>
      <c r="U477" s="9"/>
      <c r="V477" s="12"/>
      <c r="W477" s="12"/>
      <c r="X477" s="12"/>
      <c r="Y477" s="15"/>
      <c r="Z477" s="15"/>
      <c r="AA477" s="15"/>
      <c r="AB477" s="15"/>
      <c r="AC477" s="15"/>
      <c r="AD477" s="15"/>
      <c r="AE477" s="15"/>
      <c r="AF477" s="16"/>
      <c r="AG477" s="16"/>
      <c r="AH477" s="16"/>
      <c r="AI477" s="16"/>
      <c r="AJ477" s="16"/>
      <c r="AK477" s="16"/>
      <c r="AL477" s="16"/>
      <c r="AM477" s="16"/>
      <c r="AN477" s="16"/>
      <c r="AO477" s="16"/>
      <c r="AP477" s="16"/>
      <c r="AQ477" s="16"/>
      <c r="AR477" s="16"/>
      <c r="AS477" s="16"/>
      <c r="AT477" s="16"/>
      <c r="AU477" s="16"/>
      <c r="AV477" s="16"/>
      <c r="AW477" s="16"/>
      <c r="AX477" s="16"/>
      <c r="AY477" s="16"/>
      <c r="AZ477" s="16"/>
      <c r="BA477" s="16"/>
      <c r="BB477" s="16"/>
      <c r="BC477" s="16"/>
      <c r="BD477" s="16"/>
      <c r="BE477" s="16"/>
      <c r="BF477" s="16"/>
      <c r="BG477" s="16"/>
      <c r="BH477" s="16"/>
    </row>
    <row r="478" spans="6:60" s="22" customFormat="1">
      <c r="F478" s="9"/>
      <c r="J478" s="9"/>
      <c r="K478" s="9"/>
      <c r="L478" s="9"/>
      <c r="N478" s="9"/>
      <c r="O478" s="9"/>
      <c r="P478" s="9"/>
      <c r="Q478" s="9"/>
      <c r="R478" s="9"/>
      <c r="S478" s="12"/>
      <c r="T478" s="9"/>
      <c r="U478" s="9"/>
      <c r="V478" s="12"/>
      <c r="W478" s="12"/>
      <c r="X478" s="12"/>
      <c r="Y478" s="15"/>
      <c r="Z478" s="15"/>
      <c r="AA478" s="15"/>
      <c r="AB478" s="15"/>
      <c r="AC478" s="15"/>
      <c r="AD478" s="15"/>
      <c r="AE478" s="15"/>
      <c r="AF478" s="16"/>
      <c r="AG478" s="16"/>
      <c r="AH478" s="16"/>
      <c r="AI478" s="16"/>
      <c r="AJ478" s="16"/>
      <c r="AK478" s="16"/>
      <c r="AL478" s="16"/>
      <c r="AM478" s="16"/>
      <c r="AN478" s="16"/>
      <c r="AO478" s="16"/>
      <c r="AP478" s="16"/>
      <c r="AQ478" s="16"/>
      <c r="AR478" s="16"/>
      <c r="AS478" s="16"/>
      <c r="AT478" s="16"/>
      <c r="AU478" s="16"/>
      <c r="AV478" s="16"/>
      <c r="AW478" s="16"/>
      <c r="AX478" s="16"/>
      <c r="AY478" s="16"/>
      <c r="AZ478" s="16"/>
      <c r="BA478" s="16"/>
      <c r="BB478" s="16"/>
      <c r="BC478" s="16"/>
      <c r="BD478" s="16"/>
      <c r="BE478" s="16"/>
      <c r="BF478" s="16"/>
      <c r="BG478" s="16"/>
      <c r="BH478" s="16"/>
    </row>
    <row r="479" spans="6:60" s="22" customFormat="1">
      <c r="F479" s="9"/>
      <c r="J479" s="9"/>
      <c r="K479" s="9"/>
      <c r="L479" s="9"/>
      <c r="N479" s="9"/>
      <c r="O479" s="9"/>
      <c r="P479" s="9"/>
      <c r="Q479" s="9"/>
      <c r="R479" s="9"/>
      <c r="S479" s="12"/>
      <c r="T479" s="9"/>
      <c r="U479" s="9"/>
      <c r="V479" s="12"/>
      <c r="W479" s="12"/>
      <c r="X479" s="12"/>
      <c r="Y479" s="15"/>
      <c r="Z479" s="15"/>
      <c r="AA479" s="15"/>
      <c r="AB479" s="15"/>
      <c r="AC479" s="15"/>
      <c r="AD479" s="15"/>
      <c r="AE479" s="15"/>
      <c r="AF479" s="16"/>
      <c r="AG479" s="16"/>
      <c r="AH479" s="16"/>
      <c r="AI479" s="16"/>
      <c r="AJ479" s="16"/>
      <c r="AK479" s="16"/>
      <c r="AL479" s="16"/>
      <c r="AM479" s="16"/>
      <c r="AN479" s="16"/>
      <c r="AO479" s="16"/>
      <c r="AP479" s="16"/>
      <c r="AQ479" s="16"/>
      <c r="AR479" s="16"/>
      <c r="AS479" s="16"/>
      <c r="AT479" s="16"/>
      <c r="AU479" s="16"/>
      <c r="AV479" s="16"/>
      <c r="AW479" s="16"/>
      <c r="AX479" s="16"/>
      <c r="AY479" s="16"/>
      <c r="AZ479" s="16"/>
      <c r="BA479" s="16"/>
      <c r="BB479" s="16"/>
      <c r="BC479" s="16"/>
      <c r="BD479" s="16"/>
      <c r="BE479" s="16"/>
      <c r="BF479" s="16"/>
      <c r="BG479" s="16"/>
      <c r="BH479" s="16"/>
    </row>
    <row r="480" spans="6:60" s="22" customFormat="1">
      <c r="F480" s="9"/>
      <c r="J480" s="9"/>
      <c r="K480" s="9"/>
      <c r="L480" s="9"/>
      <c r="N480" s="9"/>
      <c r="O480" s="9"/>
      <c r="P480" s="9"/>
      <c r="Q480" s="9"/>
      <c r="R480" s="9"/>
      <c r="S480" s="12"/>
      <c r="T480" s="9"/>
      <c r="U480" s="9"/>
      <c r="V480" s="12"/>
      <c r="W480" s="12"/>
      <c r="X480" s="12"/>
      <c r="Y480" s="15"/>
      <c r="Z480" s="15"/>
      <c r="AA480" s="15"/>
      <c r="AB480" s="15"/>
      <c r="AC480" s="15"/>
      <c r="AD480" s="15"/>
      <c r="AE480" s="15"/>
      <c r="AF480" s="16"/>
      <c r="AG480" s="16"/>
      <c r="AH480" s="16"/>
      <c r="AI480" s="16"/>
      <c r="AJ480" s="16"/>
      <c r="AK480" s="16"/>
      <c r="AL480" s="16"/>
      <c r="AM480" s="16"/>
      <c r="AN480" s="16"/>
      <c r="AO480" s="16"/>
      <c r="AP480" s="16"/>
      <c r="AQ480" s="16"/>
      <c r="AR480" s="16"/>
      <c r="AS480" s="16"/>
      <c r="AT480" s="16"/>
      <c r="AU480" s="16"/>
      <c r="AV480" s="16"/>
      <c r="AW480" s="16"/>
      <c r="AX480" s="16"/>
      <c r="AY480" s="16"/>
      <c r="AZ480" s="16"/>
      <c r="BA480" s="16"/>
      <c r="BB480" s="16"/>
      <c r="BC480" s="16"/>
      <c r="BD480" s="16"/>
      <c r="BE480" s="16"/>
      <c r="BF480" s="16"/>
      <c r="BG480" s="16"/>
      <c r="BH480" s="16"/>
    </row>
    <row r="481" spans="6:60" s="22" customFormat="1">
      <c r="F481" s="9"/>
      <c r="J481" s="9"/>
      <c r="K481" s="9"/>
      <c r="L481" s="9"/>
      <c r="N481" s="9"/>
      <c r="O481" s="9"/>
      <c r="P481" s="9"/>
      <c r="Q481" s="9"/>
      <c r="R481" s="9"/>
      <c r="S481" s="12"/>
      <c r="T481" s="9"/>
      <c r="U481" s="9"/>
      <c r="V481" s="12"/>
      <c r="W481" s="12"/>
      <c r="X481" s="12"/>
      <c r="Y481" s="15"/>
      <c r="Z481" s="15"/>
      <c r="AA481" s="15"/>
      <c r="AB481" s="15"/>
      <c r="AC481" s="15"/>
      <c r="AD481" s="15"/>
      <c r="AE481" s="15"/>
      <c r="AF481" s="16"/>
      <c r="AG481" s="16"/>
      <c r="AH481" s="16"/>
      <c r="AI481" s="16"/>
      <c r="AJ481" s="16"/>
      <c r="AK481" s="16"/>
      <c r="AL481" s="16"/>
      <c r="AM481" s="16"/>
      <c r="AN481" s="16"/>
      <c r="AO481" s="16"/>
      <c r="AP481" s="16"/>
      <c r="AQ481" s="16"/>
      <c r="AR481" s="16"/>
      <c r="AS481" s="16"/>
      <c r="AT481" s="16"/>
      <c r="AU481" s="16"/>
      <c r="AV481" s="16"/>
      <c r="AW481" s="16"/>
      <c r="AX481" s="16"/>
      <c r="AY481" s="16"/>
      <c r="AZ481" s="16"/>
      <c r="BA481" s="16"/>
      <c r="BB481" s="16"/>
      <c r="BC481" s="16"/>
      <c r="BD481" s="16"/>
      <c r="BE481" s="16"/>
      <c r="BF481" s="16"/>
      <c r="BG481" s="16"/>
      <c r="BH481" s="16"/>
    </row>
    <row r="482" spans="6:60" s="22" customFormat="1">
      <c r="F482" s="9"/>
      <c r="J482" s="9"/>
      <c r="K482" s="9"/>
      <c r="L482" s="9"/>
      <c r="N482" s="9"/>
      <c r="O482" s="9"/>
      <c r="P482" s="9"/>
      <c r="Q482" s="9"/>
      <c r="R482" s="9"/>
      <c r="S482" s="12"/>
      <c r="T482" s="9"/>
      <c r="U482" s="9"/>
      <c r="V482" s="12"/>
      <c r="W482" s="12"/>
      <c r="X482" s="12"/>
      <c r="Y482" s="15"/>
      <c r="Z482" s="15"/>
      <c r="AA482" s="15"/>
      <c r="AB482" s="15"/>
      <c r="AC482" s="15"/>
      <c r="AD482" s="15"/>
      <c r="AE482" s="15"/>
      <c r="AF482" s="16"/>
      <c r="AG482" s="16"/>
      <c r="AH482" s="16"/>
      <c r="AI482" s="16"/>
      <c r="AJ482" s="16"/>
      <c r="AK482" s="16"/>
      <c r="AL482" s="16"/>
      <c r="AM482" s="16"/>
      <c r="AN482" s="16"/>
      <c r="AO482" s="16"/>
      <c r="AP482" s="16"/>
      <c r="AQ482" s="16"/>
      <c r="AR482" s="16"/>
      <c r="AS482" s="16"/>
      <c r="AT482" s="16"/>
      <c r="AU482" s="16"/>
      <c r="AV482" s="16"/>
      <c r="AW482" s="16"/>
      <c r="AX482" s="16"/>
      <c r="AY482" s="16"/>
      <c r="AZ482" s="16"/>
      <c r="BA482" s="16"/>
      <c r="BB482" s="16"/>
      <c r="BC482" s="16"/>
      <c r="BD482" s="16"/>
      <c r="BE482" s="16"/>
      <c r="BF482" s="16"/>
      <c r="BG482" s="16"/>
      <c r="BH482" s="16"/>
    </row>
    <row r="483" spans="6:60" s="22" customFormat="1">
      <c r="F483" s="9"/>
      <c r="J483" s="9"/>
      <c r="K483" s="9"/>
      <c r="L483" s="9"/>
      <c r="N483" s="9"/>
      <c r="O483" s="9"/>
      <c r="P483" s="9"/>
      <c r="Q483" s="9"/>
      <c r="R483" s="9"/>
      <c r="S483" s="12"/>
      <c r="T483" s="9"/>
      <c r="U483" s="9"/>
      <c r="V483" s="12"/>
      <c r="W483" s="12"/>
      <c r="X483" s="12"/>
      <c r="Y483" s="15"/>
      <c r="Z483" s="15"/>
      <c r="AA483" s="15"/>
      <c r="AB483" s="15"/>
      <c r="AC483" s="15"/>
      <c r="AD483" s="15"/>
      <c r="AE483" s="15"/>
      <c r="AF483" s="16"/>
      <c r="AG483" s="16"/>
      <c r="AH483" s="16"/>
      <c r="AI483" s="16"/>
      <c r="AJ483" s="16"/>
      <c r="AK483" s="16"/>
      <c r="AL483" s="16"/>
      <c r="AM483" s="16"/>
      <c r="AN483" s="16"/>
      <c r="AO483" s="16"/>
      <c r="AP483" s="16"/>
      <c r="AQ483" s="16"/>
      <c r="AR483" s="16"/>
      <c r="AS483" s="16"/>
      <c r="AT483" s="16"/>
      <c r="AU483" s="16"/>
      <c r="AV483" s="16"/>
      <c r="AW483" s="16"/>
      <c r="AX483" s="16"/>
      <c r="AY483" s="16"/>
      <c r="AZ483" s="16"/>
      <c r="BA483" s="16"/>
      <c r="BB483" s="16"/>
      <c r="BC483" s="16"/>
      <c r="BD483" s="16"/>
      <c r="BE483" s="16"/>
      <c r="BF483" s="16"/>
      <c r="BG483" s="16"/>
      <c r="BH483" s="16"/>
    </row>
    <row r="484" spans="6:60" s="22" customFormat="1">
      <c r="F484" s="9"/>
      <c r="J484" s="9"/>
      <c r="K484" s="9"/>
      <c r="L484" s="9"/>
      <c r="N484" s="9"/>
      <c r="O484" s="9"/>
      <c r="P484" s="9"/>
      <c r="Q484" s="9"/>
      <c r="R484" s="9"/>
      <c r="S484" s="12"/>
      <c r="T484" s="9"/>
      <c r="U484" s="9"/>
      <c r="V484" s="12"/>
      <c r="W484" s="12"/>
      <c r="X484" s="12"/>
      <c r="Y484" s="15"/>
      <c r="Z484" s="15"/>
      <c r="AA484" s="15"/>
      <c r="AB484" s="15"/>
      <c r="AC484" s="15"/>
      <c r="AD484" s="15"/>
      <c r="AE484" s="15"/>
      <c r="AF484" s="16"/>
      <c r="AG484" s="16"/>
      <c r="AH484" s="16"/>
      <c r="AI484" s="16"/>
      <c r="AJ484" s="16"/>
      <c r="AK484" s="16"/>
      <c r="AL484" s="16"/>
      <c r="AM484" s="16"/>
      <c r="AN484" s="16"/>
      <c r="AO484" s="16"/>
      <c r="AP484" s="16"/>
      <c r="AQ484" s="16"/>
      <c r="AR484" s="16"/>
      <c r="AS484" s="16"/>
      <c r="AT484" s="16"/>
      <c r="AU484" s="16"/>
      <c r="AV484" s="16"/>
      <c r="AW484" s="16"/>
      <c r="AX484" s="16"/>
      <c r="AY484" s="16"/>
      <c r="AZ484" s="16"/>
      <c r="BA484" s="16"/>
      <c r="BB484" s="16"/>
      <c r="BC484" s="16"/>
      <c r="BD484" s="16"/>
      <c r="BE484" s="16"/>
      <c r="BF484" s="16"/>
      <c r="BG484" s="16"/>
      <c r="BH484" s="16"/>
    </row>
    <row r="485" spans="6:60" s="22" customFormat="1">
      <c r="F485" s="9"/>
      <c r="J485" s="9"/>
      <c r="K485" s="9"/>
      <c r="L485" s="9"/>
      <c r="N485" s="9"/>
      <c r="O485" s="9"/>
      <c r="P485" s="9"/>
      <c r="Q485" s="9"/>
      <c r="R485" s="9"/>
      <c r="S485" s="12"/>
      <c r="T485" s="9"/>
      <c r="U485" s="9"/>
      <c r="V485" s="12"/>
      <c r="W485" s="12"/>
      <c r="X485" s="12"/>
      <c r="Y485" s="15"/>
      <c r="Z485" s="15"/>
      <c r="AA485" s="15"/>
      <c r="AB485" s="15"/>
      <c r="AC485" s="15"/>
      <c r="AD485" s="15"/>
      <c r="AE485" s="15"/>
      <c r="AF485" s="16"/>
      <c r="AG485" s="16"/>
      <c r="AH485" s="16"/>
      <c r="AI485" s="16"/>
      <c r="AJ485" s="16"/>
      <c r="AK485" s="16"/>
      <c r="AL485" s="16"/>
      <c r="AM485" s="16"/>
      <c r="AN485" s="16"/>
      <c r="AO485" s="16"/>
      <c r="AP485" s="16"/>
      <c r="AQ485" s="16"/>
      <c r="AR485" s="16"/>
      <c r="AS485" s="16"/>
      <c r="AT485" s="16"/>
      <c r="AU485" s="16"/>
      <c r="AV485" s="16"/>
      <c r="AW485" s="16"/>
      <c r="AX485" s="16"/>
      <c r="AY485" s="16"/>
      <c r="AZ485" s="16"/>
      <c r="BA485" s="16"/>
      <c r="BB485" s="16"/>
      <c r="BC485" s="16"/>
      <c r="BD485" s="16"/>
      <c r="BE485" s="16"/>
      <c r="BF485" s="16"/>
      <c r="BG485" s="16"/>
      <c r="BH485" s="16"/>
    </row>
    <row r="486" spans="6:60" s="22" customFormat="1">
      <c r="F486" s="9"/>
      <c r="J486" s="9"/>
      <c r="K486" s="9"/>
      <c r="L486" s="9"/>
      <c r="N486" s="9"/>
      <c r="O486" s="9"/>
      <c r="P486" s="9"/>
      <c r="Q486" s="9"/>
      <c r="R486" s="9"/>
      <c r="S486" s="12"/>
      <c r="T486" s="9"/>
      <c r="U486" s="9"/>
      <c r="V486" s="12"/>
      <c r="W486" s="12"/>
      <c r="X486" s="12"/>
      <c r="Y486" s="15"/>
      <c r="Z486" s="15"/>
      <c r="AA486" s="15"/>
      <c r="AB486" s="15"/>
      <c r="AC486" s="15"/>
      <c r="AD486" s="15"/>
      <c r="AE486" s="15"/>
      <c r="AF486" s="16"/>
      <c r="AG486" s="16"/>
      <c r="AH486" s="16"/>
      <c r="AI486" s="16"/>
      <c r="AJ486" s="16"/>
      <c r="AK486" s="16"/>
      <c r="AL486" s="16"/>
      <c r="AM486" s="16"/>
      <c r="AN486" s="16"/>
      <c r="AO486" s="16"/>
      <c r="AP486" s="16"/>
      <c r="AQ486" s="16"/>
      <c r="AR486" s="16"/>
      <c r="AS486" s="16"/>
      <c r="AT486" s="16"/>
      <c r="AU486" s="16"/>
      <c r="AV486" s="16"/>
      <c r="AW486" s="16"/>
      <c r="AX486" s="16"/>
      <c r="AY486" s="16"/>
      <c r="AZ486" s="16"/>
      <c r="BA486" s="16"/>
      <c r="BB486" s="16"/>
      <c r="BC486" s="16"/>
      <c r="BD486" s="16"/>
      <c r="BE486" s="16"/>
      <c r="BF486" s="16"/>
      <c r="BG486" s="16"/>
      <c r="BH486" s="16"/>
    </row>
    <row r="487" spans="6:60" s="22" customFormat="1">
      <c r="F487" s="9"/>
      <c r="J487" s="9"/>
      <c r="K487" s="9"/>
      <c r="L487" s="9"/>
      <c r="N487" s="9"/>
      <c r="O487" s="9"/>
      <c r="P487" s="9"/>
      <c r="Q487" s="9"/>
      <c r="R487" s="9"/>
      <c r="S487" s="12"/>
      <c r="T487" s="9"/>
      <c r="U487" s="9"/>
      <c r="V487" s="12"/>
      <c r="W487" s="12"/>
      <c r="X487" s="12"/>
      <c r="Y487" s="15"/>
      <c r="Z487" s="15"/>
      <c r="AA487" s="15"/>
      <c r="AB487" s="15"/>
      <c r="AC487" s="15"/>
      <c r="AD487" s="15"/>
      <c r="AE487" s="15"/>
      <c r="AF487" s="16"/>
      <c r="AG487" s="16"/>
      <c r="AH487" s="16"/>
      <c r="AI487" s="16"/>
      <c r="AJ487" s="16"/>
      <c r="AK487" s="16"/>
      <c r="AL487" s="16"/>
      <c r="AM487" s="16"/>
      <c r="AN487" s="16"/>
      <c r="AO487" s="16"/>
      <c r="AP487" s="16"/>
      <c r="AQ487" s="16"/>
      <c r="AR487" s="16"/>
      <c r="AS487" s="16"/>
      <c r="AT487" s="16"/>
      <c r="AU487" s="16"/>
      <c r="AV487" s="16"/>
      <c r="AW487" s="16"/>
      <c r="AX487" s="16"/>
      <c r="AY487" s="16"/>
      <c r="AZ487" s="16"/>
      <c r="BA487" s="16"/>
      <c r="BB487" s="16"/>
      <c r="BC487" s="16"/>
      <c r="BD487" s="16"/>
      <c r="BE487" s="16"/>
      <c r="BF487" s="16"/>
      <c r="BG487" s="16"/>
      <c r="BH487" s="16"/>
    </row>
    <row r="488" spans="6:60" s="22" customFormat="1">
      <c r="F488" s="9"/>
      <c r="J488" s="9"/>
      <c r="K488" s="9"/>
      <c r="L488" s="9"/>
      <c r="N488" s="9"/>
      <c r="O488" s="9"/>
      <c r="P488" s="9"/>
      <c r="Q488" s="9"/>
      <c r="R488" s="9"/>
      <c r="S488" s="12"/>
      <c r="T488" s="9"/>
      <c r="U488" s="9"/>
      <c r="V488" s="12"/>
      <c r="W488" s="12"/>
      <c r="X488" s="12"/>
      <c r="Y488" s="15"/>
      <c r="Z488" s="15"/>
      <c r="AA488" s="15"/>
      <c r="AB488" s="15"/>
      <c r="AC488" s="15"/>
      <c r="AD488" s="15"/>
      <c r="AE488" s="15"/>
      <c r="AF488" s="16"/>
      <c r="AG488" s="16"/>
      <c r="AH488" s="16"/>
      <c r="AI488" s="16"/>
      <c r="AJ488" s="16"/>
      <c r="AK488" s="16"/>
      <c r="AL488" s="16"/>
      <c r="AM488" s="16"/>
      <c r="AN488" s="16"/>
      <c r="AO488" s="16"/>
      <c r="AP488" s="16"/>
      <c r="AQ488" s="16"/>
      <c r="AR488" s="16"/>
      <c r="AS488" s="16"/>
      <c r="AT488" s="16"/>
      <c r="AU488" s="16"/>
      <c r="AV488" s="16"/>
      <c r="AW488" s="16"/>
      <c r="AX488" s="16"/>
      <c r="AY488" s="16"/>
      <c r="AZ488" s="16"/>
      <c r="BA488" s="16"/>
      <c r="BB488" s="16"/>
      <c r="BC488" s="16"/>
      <c r="BD488" s="16"/>
      <c r="BE488" s="16"/>
      <c r="BF488" s="16"/>
      <c r="BG488" s="16"/>
      <c r="BH488" s="16"/>
    </row>
    <row r="489" spans="6:60" s="22" customFormat="1">
      <c r="F489" s="9"/>
      <c r="J489" s="9"/>
      <c r="K489" s="9"/>
      <c r="L489" s="9"/>
      <c r="N489" s="9"/>
      <c r="O489" s="9"/>
      <c r="P489" s="9"/>
      <c r="Q489" s="9"/>
      <c r="R489" s="9"/>
      <c r="S489" s="12"/>
      <c r="T489" s="9"/>
      <c r="U489" s="9"/>
      <c r="V489" s="12"/>
      <c r="W489" s="12"/>
      <c r="X489" s="12"/>
      <c r="Y489" s="15"/>
      <c r="Z489" s="15"/>
      <c r="AA489" s="15"/>
      <c r="AB489" s="15"/>
      <c r="AC489" s="15"/>
      <c r="AD489" s="15"/>
      <c r="AE489" s="15"/>
      <c r="AF489" s="16"/>
      <c r="AG489" s="16"/>
      <c r="AH489" s="16"/>
      <c r="AI489" s="16"/>
      <c r="AJ489" s="16"/>
      <c r="AK489" s="16"/>
      <c r="AL489" s="16"/>
      <c r="AM489" s="16"/>
      <c r="AN489" s="16"/>
      <c r="AO489" s="16"/>
      <c r="AP489" s="16"/>
      <c r="AQ489" s="16"/>
      <c r="AR489" s="16"/>
      <c r="AS489" s="16"/>
      <c r="AT489" s="16"/>
      <c r="AU489" s="16"/>
      <c r="AV489" s="16"/>
      <c r="AW489" s="16"/>
      <c r="AX489" s="16"/>
      <c r="AY489" s="16"/>
      <c r="AZ489" s="16"/>
      <c r="BA489" s="16"/>
      <c r="BB489" s="16"/>
      <c r="BC489" s="16"/>
      <c r="BD489" s="16"/>
      <c r="BE489" s="16"/>
      <c r="BF489" s="16"/>
      <c r="BG489" s="16"/>
      <c r="BH489" s="16"/>
    </row>
    <row r="490" spans="6:60" s="22" customFormat="1">
      <c r="F490" s="9"/>
      <c r="J490" s="9"/>
      <c r="K490" s="9"/>
      <c r="L490" s="9"/>
      <c r="N490" s="9"/>
      <c r="O490" s="9"/>
      <c r="P490" s="9"/>
      <c r="Q490" s="9"/>
      <c r="R490" s="9"/>
      <c r="S490" s="12"/>
      <c r="T490" s="9"/>
      <c r="U490" s="9"/>
      <c r="V490" s="12"/>
      <c r="W490" s="12"/>
      <c r="X490" s="12"/>
      <c r="Y490" s="15"/>
      <c r="Z490" s="15"/>
      <c r="AA490" s="15"/>
      <c r="AB490" s="15"/>
      <c r="AC490" s="15"/>
      <c r="AD490" s="15"/>
      <c r="AE490" s="15"/>
      <c r="AF490" s="16"/>
      <c r="AG490" s="16"/>
      <c r="AH490" s="16"/>
      <c r="AI490" s="16"/>
      <c r="AJ490" s="16"/>
      <c r="AK490" s="16"/>
      <c r="AL490" s="16"/>
      <c r="AM490" s="16"/>
      <c r="AN490" s="16"/>
      <c r="AO490" s="16"/>
      <c r="AP490" s="16"/>
      <c r="AQ490" s="16"/>
      <c r="AR490" s="16"/>
      <c r="AS490" s="16"/>
      <c r="AT490" s="16"/>
      <c r="AU490" s="16"/>
      <c r="AV490" s="16"/>
      <c r="AW490" s="16"/>
      <c r="AX490" s="16"/>
      <c r="AY490" s="16"/>
      <c r="AZ490" s="16"/>
      <c r="BA490" s="16"/>
      <c r="BB490" s="16"/>
      <c r="BC490" s="16"/>
      <c r="BD490" s="16"/>
      <c r="BE490" s="16"/>
      <c r="BF490" s="16"/>
      <c r="BG490" s="16"/>
      <c r="BH490" s="16"/>
    </row>
    <row r="491" spans="6:60" s="22" customFormat="1">
      <c r="F491" s="9"/>
      <c r="J491" s="9"/>
      <c r="K491" s="9"/>
      <c r="L491" s="9"/>
      <c r="N491" s="9"/>
      <c r="O491" s="9"/>
      <c r="P491" s="9"/>
      <c r="Q491" s="9"/>
      <c r="R491" s="9"/>
      <c r="S491" s="12"/>
      <c r="T491" s="9"/>
      <c r="U491" s="9"/>
      <c r="V491" s="12"/>
      <c r="W491" s="12"/>
      <c r="X491" s="12"/>
      <c r="Y491" s="15"/>
      <c r="Z491" s="15"/>
      <c r="AA491" s="15"/>
      <c r="AB491" s="15"/>
      <c r="AC491" s="15"/>
      <c r="AD491" s="15"/>
      <c r="AE491" s="15"/>
      <c r="AF491" s="16"/>
      <c r="AG491" s="16"/>
      <c r="AH491" s="16"/>
      <c r="AI491" s="16"/>
      <c r="AJ491" s="16"/>
      <c r="AK491" s="16"/>
      <c r="AL491" s="16"/>
      <c r="AM491" s="16"/>
      <c r="AN491" s="16"/>
      <c r="AO491" s="16"/>
      <c r="AP491" s="16"/>
      <c r="AQ491" s="16"/>
      <c r="AR491" s="16"/>
      <c r="AS491" s="16"/>
      <c r="AT491" s="16"/>
      <c r="AU491" s="16"/>
      <c r="AV491" s="16"/>
      <c r="AW491" s="16"/>
      <c r="AX491" s="16"/>
      <c r="AY491" s="16"/>
      <c r="AZ491" s="16"/>
      <c r="BA491" s="16"/>
      <c r="BB491" s="16"/>
      <c r="BC491" s="16"/>
      <c r="BD491" s="16"/>
      <c r="BE491" s="16"/>
      <c r="BF491" s="16"/>
      <c r="BG491" s="16"/>
      <c r="BH491" s="16"/>
    </row>
    <row r="492" spans="6:60" s="22" customFormat="1">
      <c r="F492" s="9"/>
      <c r="J492" s="9"/>
      <c r="K492" s="9"/>
      <c r="L492" s="9"/>
      <c r="N492" s="9"/>
      <c r="O492" s="9"/>
      <c r="P492" s="9"/>
      <c r="Q492" s="9"/>
      <c r="R492" s="9"/>
      <c r="S492" s="12"/>
      <c r="T492" s="9"/>
      <c r="U492" s="9"/>
      <c r="V492" s="12"/>
      <c r="W492" s="12"/>
      <c r="X492" s="12"/>
      <c r="Y492" s="15"/>
      <c r="Z492" s="15"/>
      <c r="AA492" s="15"/>
      <c r="AB492" s="15"/>
      <c r="AC492" s="15"/>
      <c r="AD492" s="15"/>
      <c r="AE492" s="15"/>
      <c r="AF492" s="16"/>
      <c r="AG492" s="16"/>
      <c r="AH492" s="16"/>
      <c r="AI492" s="16"/>
      <c r="AJ492" s="16"/>
      <c r="AK492" s="16"/>
      <c r="AL492" s="16"/>
      <c r="AM492" s="16"/>
      <c r="AN492" s="16"/>
      <c r="AO492" s="16"/>
      <c r="AP492" s="16"/>
      <c r="AQ492" s="16"/>
      <c r="AR492" s="16"/>
      <c r="AS492" s="16"/>
      <c r="AT492" s="16"/>
      <c r="AU492" s="16"/>
      <c r="AV492" s="16"/>
      <c r="AW492" s="16"/>
      <c r="AX492" s="16"/>
      <c r="AY492" s="16"/>
      <c r="AZ492" s="16"/>
      <c r="BA492" s="16"/>
      <c r="BB492" s="16"/>
      <c r="BC492" s="16"/>
      <c r="BD492" s="16"/>
      <c r="BE492" s="16"/>
      <c r="BF492" s="16"/>
      <c r="BG492" s="16"/>
      <c r="BH492" s="16"/>
    </row>
    <row r="493" spans="6:60" s="22" customFormat="1">
      <c r="F493" s="9"/>
      <c r="J493" s="9"/>
      <c r="K493" s="9"/>
      <c r="L493" s="9"/>
      <c r="N493" s="9"/>
      <c r="O493" s="9"/>
      <c r="P493" s="9"/>
      <c r="Q493" s="9"/>
      <c r="R493" s="9"/>
      <c r="S493" s="12"/>
      <c r="T493" s="9"/>
      <c r="U493" s="9"/>
      <c r="V493" s="12"/>
      <c r="W493" s="12"/>
      <c r="X493" s="12"/>
      <c r="Y493" s="15"/>
      <c r="Z493" s="15"/>
      <c r="AA493" s="15"/>
      <c r="AB493" s="15"/>
      <c r="AC493" s="15"/>
      <c r="AD493" s="15"/>
      <c r="AE493" s="15"/>
      <c r="AF493" s="16"/>
      <c r="AG493" s="16"/>
      <c r="AH493" s="16"/>
      <c r="AI493" s="16"/>
      <c r="AJ493" s="16"/>
      <c r="AK493" s="16"/>
      <c r="AL493" s="16"/>
      <c r="AM493" s="16"/>
      <c r="AN493" s="16"/>
      <c r="AO493" s="16"/>
      <c r="AP493" s="16"/>
      <c r="AQ493" s="16"/>
      <c r="AR493" s="16"/>
      <c r="AS493" s="16"/>
      <c r="AT493" s="16"/>
      <c r="AU493" s="16"/>
      <c r="AV493" s="16"/>
      <c r="AW493" s="16"/>
      <c r="AX493" s="16"/>
      <c r="AY493" s="16"/>
      <c r="AZ493" s="16"/>
      <c r="BA493" s="16"/>
      <c r="BB493" s="16"/>
      <c r="BC493" s="16"/>
      <c r="BD493" s="16"/>
      <c r="BE493" s="16"/>
      <c r="BF493" s="16"/>
      <c r="BG493" s="16"/>
      <c r="BH493" s="16"/>
    </row>
    <row r="494" spans="6:60" s="22" customFormat="1">
      <c r="F494" s="9"/>
      <c r="J494" s="9"/>
      <c r="K494" s="9"/>
      <c r="L494" s="9"/>
      <c r="N494" s="9"/>
      <c r="O494" s="9"/>
      <c r="P494" s="9"/>
      <c r="Q494" s="9"/>
      <c r="R494" s="9"/>
      <c r="S494" s="12"/>
      <c r="T494" s="9"/>
      <c r="U494" s="9"/>
      <c r="V494" s="12"/>
      <c r="W494" s="12"/>
      <c r="X494" s="12"/>
      <c r="Y494" s="15"/>
      <c r="Z494" s="15"/>
      <c r="AA494" s="15"/>
      <c r="AB494" s="15"/>
      <c r="AC494" s="15"/>
      <c r="AD494" s="15"/>
      <c r="AE494" s="15"/>
      <c r="AF494" s="16"/>
      <c r="AG494" s="16"/>
      <c r="AH494" s="16"/>
      <c r="AI494" s="16"/>
      <c r="AJ494" s="16"/>
      <c r="AK494" s="16"/>
      <c r="AL494" s="16"/>
      <c r="AM494" s="16"/>
      <c r="AN494" s="16"/>
      <c r="AO494" s="16"/>
      <c r="AP494" s="16"/>
      <c r="AQ494" s="16"/>
      <c r="AR494" s="16"/>
      <c r="AS494" s="16"/>
      <c r="AT494" s="16"/>
      <c r="AU494" s="16"/>
      <c r="AV494" s="16"/>
      <c r="AW494" s="16"/>
      <c r="AX494" s="16"/>
      <c r="AY494" s="16"/>
      <c r="AZ494" s="16"/>
      <c r="BA494" s="16"/>
      <c r="BB494" s="16"/>
      <c r="BC494" s="16"/>
      <c r="BD494" s="16"/>
      <c r="BE494" s="16"/>
      <c r="BF494" s="16"/>
      <c r="BG494" s="16"/>
      <c r="BH494" s="16"/>
    </row>
    <row r="495" spans="6:60" s="22" customFormat="1">
      <c r="F495" s="9"/>
      <c r="J495" s="9"/>
      <c r="K495" s="9"/>
      <c r="L495" s="9"/>
      <c r="N495" s="9"/>
      <c r="O495" s="9"/>
      <c r="P495" s="9"/>
      <c r="Q495" s="9"/>
      <c r="R495" s="9"/>
      <c r="S495" s="12"/>
      <c r="T495" s="9"/>
      <c r="U495" s="9"/>
      <c r="V495" s="12"/>
      <c r="W495" s="12"/>
      <c r="X495" s="12"/>
      <c r="Y495" s="15"/>
      <c r="Z495" s="15"/>
      <c r="AA495" s="15"/>
      <c r="AB495" s="15"/>
      <c r="AC495" s="15"/>
      <c r="AD495" s="15"/>
      <c r="AE495" s="15"/>
      <c r="AF495" s="16"/>
      <c r="AG495" s="16"/>
      <c r="AH495" s="16"/>
      <c r="AI495" s="16"/>
      <c r="AJ495" s="16"/>
      <c r="AK495" s="16"/>
      <c r="AL495" s="16"/>
      <c r="AM495" s="16"/>
      <c r="AN495" s="16"/>
      <c r="AO495" s="16"/>
      <c r="AP495" s="16"/>
      <c r="AQ495" s="16"/>
      <c r="AR495" s="16"/>
      <c r="AS495" s="16"/>
      <c r="AT495" s="16"/>
      <c r="AU495" s="16"/>
      <c r="AV495" s="16"/>
      <c r="AW495" s="16"/>
      <c r="AX495" s="16"/>
      <c r="AY495" s="16"/>
      <c r="AZ495" s="16"/>
      <c r="BA495" s="16"/>
      <c r="BB495" s="16"/>
      <c r="BC495" s="16"/>
      <c r="BD495" s="16"/>
      <c r="BE495" s="16"/>
      <c r="BF495" s="16"/>
      <c r="BG495" s="16"/>
      <c r="BH495" s="16"/>
    </row>
    <row r="496" spans="6:60" s="22" customFormat="1">
      <c r="F496" s="9"/>
      <c r="J496" s="9"/>
      <c r="K496" s="9"/>
      <c r="L496" s="9"/>
      <c r="N496" s="9"/>
      <c r="O496" s="9"/>
      <c r="P496" s="9"/>
      <c r="Q496" s="9"/>
      <c r="R496" s="9"/>
      <c r="S496" s="12"/>
      <c r="T496" s="9"/>
      <c r="U496" s="9"/>
      <c r="V496" s="12"/>
      <c r="W496" s="12"/>
      <c r="X496" s="12"/>
      <c r="Y496" s="15"/>
      <c r="Z496" s="15"/>
      <c r="AA496" s="15"/>
      <c r="AB496" s="15"/>
      <c r="AC496" s="15"/>
      <c r="AD496" s="15"/>
      <c r="AE496" s="15"/>
      <c r="AF496" s="16"/>
      <c r="AG496" s="16"/>
      <c r="AH496" s="16"/>
      <c r="AI496" s="16"/>
      <c r="AJ496" s="16"/>
      <c r="AK496" s="16"/>
      <c r="AL496" s="16"/>
      <c r="AM496" s="16"/>
      <c r="AN496" s="16"/>
      <c r="AO496" s="16"/>
      <c r="AP496" s="16"/>
      <c r="AQ496" s="16"/>
      <c r="AR496" s="16"/>
      <c r="AS496" s="16"/>
      <c r="AT496" s="16"/>
      <c r="AU496" s="16"/>
      <c r="AV496" s="16"/>
      <c r="AW496" s="16"/>
      <c r="AX496" s="16"/>
      <c r="AY496" s="16"/>
      <c r="AZ496" s="16"/>
      <c r="BA496" s="16"/>
      <c r="BB496" s="16"/>
      <c r="BC496" s="16"/>
      <c r="BD496" s="16"/>
      <c r="BE496" s="16"/>
      <c r="BF496" s="16"/>
      <c r="BG496" s="16"/>
      <c r="BH496" s="16"/>
    </row>
    <row r="497" spans="6:60" s="22" customFormat="1">
      <c r="F497" s="9"/>
      <c r="J497" s="9"/>
      <c r="K497" s="9"/>
      <c r="L497" s="9"/>
      <c r="N497" s="9"/>
      <c r="O497" s="9"/>
      <c r="P497" s="9"/>
      <c r="Q497" s="9"/>
      <c r="R497" s="9"/>
      <c r="S497" s="12"/>
      <c r="T497" s="9"/>
      <c r="U497" s="9"/>
      <c r="V497" s="12"/>
      <c r="W497" s="12"/>
      <c r="X497" s="12"/>
      <c r="Y497" s="15"/>
      <c r="Z497" s="15"/>
      <c r="AA497" s="15"/>
      <c r="AB497" s="15"/>
      <c r="AC497" s="15"/>
      <c r="AD497" s="15"/>
      <c r="AE497" s="15"/>
      <c r="AF497" s="16"/>
      <c r="AG497" s="16"/>
      <c r="AH497" s="16"/>
      <c r="AI497" s="16"/>
      <c r="AJ497" s="16"/>
      <c r="AK497" s="16"/>
      <c r="AL497" s="16"/>
      <c r="AM497" s="16"/>
      <c r="AN497" s="16"/>
      <c r="AO497" s="16"/>
      <c r="AP497" s="16"/>
      <c r="AQ497" s="16"/>
      <c r="AR497" s="16"/>
      <c r="AS497" s="16"/>
      <c r="AT497" s="16"/>
      <c r="AU497" s="16"/>
      <c r="AV497" s="16"/>
      <c r="AW497" s="16"/>
      <c r="AX497" s="16"/>
      <c r="AY497" s="16"/>
      <c r="AZ497" s="16"/>
      <c r="BA497" s="16"/>
      <c r="BB497" s="16"/>
      <c r="BC497" s="16"/>
      <c r="BD497" s="16"/>
      <c r="BE497" s="16"/>
      <c r="BF497" s="16"/>
      <c r="BG497" s="16"/>
      <c r="BH497" s="16"/>
    </row>
    <row r="498" spans="6:60" s="22" customFormat="1">
      <c r="F498" s="9"/>
      <c r="J498" s="9"/>
      <c r="K498" s="9"/>
      <c r="L498" s="9"/>
      <c r="N498" s="9"/>
      <c r="O498" s="9"/>
      <c r="P498" s="9"/>
      <c r="Q498" s="9"/>
      <c r="R498" s="9"/>
      <c r="S498" s="12"/>
      <c r="T498" s="9"/>
      <c r="U498" s="9"/>
      <c r="V498" s="12"/>
      <c r="W498" s="12"/>
      <c r="X498" s="12"/>
      <c r="Y498" s="15"/>
      <c r="Z498" s="15"/>
      <c r="AA498" s="15"/>
      <c r="AB498" s="15"/>
      <c r="AC498" s="15"/>
      <c r="AD498" s="15"/>
      <c r="AE498" s="15"/>
      <c r="AF498" s="16"/>
      <c r="AG498" s="16"/>
      <c r="AH498" s="16"/>
      <c r="AI498" s="16"/>
      <c r="AJ498" s="16"/>
      <c r="AK498" s="16"/>
      <c r="AL498" s="16"/>
      <c r="AM498" s="16"/>
      <c r="AN498" s="16"/>
      <c r="AO498" s="16"/>
      <c r="AP498" s="16"/>
      <c r="AQ498" s="16"/>
      <c r="AR498" s="16"/>
      <c r="AS498" s="16"/>
      <c r="AT498" s="16"/>
      <c r="AU498" s="16"/>
      <c r="AV498" s="16"/>
      <c r="AW498" s="16"/>
      <c r="AX498" s="16"/>
      <c r="AY498" s="16"/>
      <c r="AZ498" s="16"/>
      <c r="BA498" s="16"/>
      <c r="BB498" s="16"/>
      <c r="BC498" s="16"/>
      <c r="BD498" s="16"/>
      <c r="BE498" s="16"/>
      <c r="BF498" s="16"/>
      <c r="BG498" s="16"/>
      <c r="BH498" s="16"/>
    </row>
    <row r="499" spans="6:60" s="22" customFormat="1">
      <c r="F499" s="9"/>
      <c r="J499" s="9"/>
      <c r="K499" s="9"/>
      <c r="L499" s="9"/>
      <c r="N499" s="9"/>
      <c r="O499" s="9"/>
      <c r="P499" s="9"/>
      <c r="Q499" s="9"/>
      <c r="R499" s="9"/>
      <c r="S499" s="12"/>
      <c r="T499" s="9"/>
      <c r="U499" s="9"/>
      <c r="V499" s="12"/>
      <c r="W499" s="12"/>
      <c r="X499" s="12"/>
      <c r="Y499" s="15"/>
      <c r="Z499" s="15"/>
      <c r="AA499" s="15"/>
      <c r="AB499" s="15"/>
      <c r="AC499" s="15"/>
      <c r="AD499" s="15"/>
      <c r="AE499" s="15"/>
      <c r="AF499" s="16"/>
      <c r="AG499" s="16"/>
      <c r="AH499" s="16"/>
      <c r="AI499" s="16"/>
      <c r="AJ499" s="16"/>
      <c r="AK499" s="16"/>
      <c r="AL499" s="16"/>
      <c r="AM499" s="16"/>
      <c r="AN499" s="16"/>
      <c r="AO499" s="16"/>
      <c r="AP499" s="16"/>
      <c r="AQ499" s="16"/>
      <c r="AR499" s="16"/>
      <c r="AS499" s="16"/>
      <c r="AT499" s="16"/>
      <c r="AU499" s="16"/>
      <c r="AV499" s="16"/>
      <c r="AW499" s="16"/>
      <c r="AX499" s="16"/>
      <c r="AY499" s="16"/>
      <c r="AZ499" s="16"/>
      <c r="BA499" s="16"/>
      <c r="BB499" s="16"/>
      <c r="BC499" s="16"/>
      <c r="BD499" s="16"/>
      <c r="BE499" s="16"/>
      <c r="BF499" s="16"/>
      <c r="BG499" s="16"/>
      <c r="BH499" s="16"/>
    </row>
    <row r="500" spans="6:60" s="22" customFormat="1">
      <c r="F500" s="9"/>
      <c r="J500" s="9"/>
      <c r="K500" s="9"/>
      <c r="L500" s="9"/>
      <c r="N500" s="9"/>
      <c r="O500" s="9"/>
      <c r="P500" s="9"/>
      <c r="Q500" s="9"/>
      <c r="R500" s="9"/>
      <c r="S500" s="12"/>
      <c r="T500" s="9"/>
      <c r="U500" s="9"/>
      <c r="V500" s="12"/>
      <c r="W500" s="12"/>
      <c r="X500" s="12"/>
      <c r="Y500" s="15"/>
      <c r="Z500" s="15"/>
      <c r="AA500" s="15"/>
      <c r="AB500" s="15"/>
      <c r="AC500" s="15"/>
      <c r="AD500" s="15"/>
      <c r="AE500" s="15"/>
      <c r="AF500" s="16"/>
      <c r="AG500" s="16"/>
      <c r="AH500" s="16"/>
      <c r="AI500" s="16"/>
      <c r="AJ500" s="16"/>
      <c r="AK500" s="16"/>
      <c r="AL500" s="16"/>
      <c r="AM500" s="16"/>
      <c r="AN500" s="16"/>
      <c r="AO500" s="16"/>
      <c r="AP500" s="16"/>
      <c r="AQ500" s="16"/>
      <c r="AR500" s="16"/>
      <c r="AS500" s="16"/>
      <c r="AT500" s="16"/>
      <c r="AU500" s="16"/>
      <c r="AV500" s="16"/>
      <c r="AW500" s="16"/>
      <c r="AX500" s="16"/>
      <c r="AY500" s="16"/>
      <c r="AZ500" s="16"/>
      <c r="BA500" s="16"/>
      <c r="BB500" s="16"/>
      <c r="BC500" s="16"/>
      <c r="BD500" s="16"/>
      <c r="BE500" s="16"/>
      <c r="BF500" s="16"/>
      <c r="BG500" s="16"/>
      <c r="BH500" s="16"/>
    </row>
    <row r="501" spans="6:60" s="22" customFormat="1">
      <c r="F501" s="9"/>
      <c r="J501" s="9"/>
      <c r="K501" s="9"/>
      <c r="L501" s="9"/>
      <c r="N501" s="9"/>
      <c r="O501" s="9"/>
      <c r="P501" s="9"/>
      <c r="Q501" s="9"/>
      <c r="R501" s="9"/>
      <c r="S501" s="12"/>
      <c r="T501" s="9"/>
      <c r="U501" s="9"/>
      <c r="V501" s="12"/>
      <c r="W501" s="12"/>
      <c r="X501" s="12"/>
      <c r="Y501" s="15"/>
      <c r="Z501" s="15"/>
      <c r="AA501" s="15"/>
      <c r="AB501" s="15"/>
      <c r="AC501" s="15"/>
      <c r="AD501" s="15"/>
      <c r="AE501" s="15"/>
      <c r="AF501" s="16"/>
      <c r="AG501" s="16"/>
      <c r="AH501" s="16"/>
      <c r="AI501" s="16"/>
      <c r="AJ501" s="16"/>
      <c r="AK501" s="16"/>
      <c r="AL501" s="16"/>
      <c r="AM501" s="16"/>
      <c r="AN501" s="16"/>
      <c r="AO501" s="16"/>
      <c r="AP501" s="16"/>
      <c r="AQ501" s="16"/>
      <c r="AR501" s="16"/>
      <c r="AS501" s="16"/>
      <c r="AT501" s="16"/>
      <c r="AU501" s="16"/>
      <c r="AV501" s="16"/>
      <c r="AW501" s="16"/>
      <c r="AX501" s="16"/>
      <c r="AY501" s="16"/>
      <c r="AZ501" s="16"/>
      <c r="BA501" s="16"/>
      <c r="BB501" s="16"/>
      <c r="BC501" s="16"/>
      <c r="BD501" s="16"/>
      <c r="BE501" s="16"/>
      <c r="BF501" s="16"/>
      <c r="BG501" s="16"/>
      <c r="BH501" s="16"/>
    </row>
    <row r="502" spans="6:60" s="22" customFormat="1">
      <c r="F502" s="9"/>
      <c r="J502" s="9"/>
      <c r="K502" s="9"/>
      <c r="L502" s="9"/>
      <c r="N502" s="9"/>
      <c r="O502" s="9"/>
      <c r="P502" s="9"/>
      <c r="Q502" s="9"/>
      <c r="R502" s="9"/>
      <c r="S502" s="12"/>
      <c r="T502" s="9"/>
      <c r="U502" s="9"/>
      <c r="V502" s="12"/>
      <c r="W502" s="12"/>
      <c r="X502" s="12"/>
      <c r="Y502" s="15"/>
      <c r="Z502" s="15"/>
      <c r="AA502" s="15"/>
      <c r="AB502" s="15"/>
      <c r="AC502" s="15"/>
      <c r="AD502" s="15"/>
      <c r="AE502" s="15"/>
      <c r="AF502" s="16"/>
      <c r="AG502" s="16"/>
      <c r="AH502" s="16"/>
      <c r="AI502" s="16"/>
      <c r="AJ502" s="16"/>
      <c r="AK502" s="16"/>
      <c r="AL502" s="16"/>
      <c r="AM502" s="16"/>
      <c r="AN502" s="16"/>
      <c r="AO502" s="16"/>
      <c r="AP502" s="16"/>
      <c r="AQ502" s="16"/>
      <c r="AR502" s="16"/>
      <c r="AS502" s="16"/>
      <c r="AT502" s="16"/>
      <c r="AU502" s="16"/>
      <c r="AV502" s="16"/>
      <c r="AW502" s="16"/>
      <c r="AX502" s="16"/>
      <c r="AY502" s="16"/>
      <c r="AZ502" s="16"/>
      <c r="BA502" s="16"/>
      <c r="BB502" s="16"/>
      <c r="BC502" s="16"/>
      <c r="BD502" s="16"/>
      <c r="BE502" s="16"/>
      <c r="BF502" s="16"/>
      <c r="BG502" s="16"/>
      <c r="BH502" s="16"/>
    </row>
    <row r="503" spans="6:60" s="22" customFormat="1">
      <c r="F503" s="9"/>
      <c r="J503" s="9"/>
      <c r="K503" s="9"/>
      <c r="L503" s="9"/>
      <c r="N503" s="9"/>
      <c r="O503" s="9"/>
      <c r="P503" s="9"/>
      <c r="Q503" s="9"/>
      <c r="R503" s="9"/>
      <c r="S503" s="12"/>
      <c r="T503" s="9"/>
      <c r="U503" s="9"/>
      <c r="V503" s="12"/>
      <c r="W503" s="12"/>
      <c r="X503" s="12"/>
      <c r="Y503" s="15"/>
      <c r="Z503" s="15"/>
      <c r="AA503" s="15"/>
      <c r="AB503" s="15"/>
      <c r="AC503" s="15"/>
      <c r="AD503" s="15"/>
      <c r="AE503" s="15"/>
      <c r="AF503" s="16"/>
      <c r="AG503" s="16"/>
      <c r="AH503" s="16"/>
      <c r="AI503" s="16"/>
      <c r="AJ503" s="16"/>
      <c r="AK503" s="16"/>
      <c r="AL503" s="16"/>
      <c r="AM503" s="16"/>
      <c r="AN503" s="16"/>
      <c r="AO503" s="16"/>
      <c r="AP503" s="16"/>
      <c r="AQ503" s="16"/>
      <c r="AR503" s="16"/>
      <c r="AS503" s="16"/>
      <c r="AT503" s="16"/>
      <c r="AU503" s="16"/>
      <c r="AV503" s="16"/>
      <c r="AW503" s="16"/>
      <c r="AX503" s="16"/>
      <c r="AY503" s="16"/>
      <c r="AZ503" s="16"/>
      <c r="BA503" s="16"/>
      <c r="BB503" s="16"/>
      <c r="BC503" s="16"/>
      <c r="BD503" s="16"/>
      <c r="BE503" s="16"/>
      <c r="BF503" s="16"/>
      <c r="BG503" s="16"/>
      <c r="BH503" s="16"/>
    </row>
    <row r="504" spans="6:60" s="22" customFormat="1">
      <c r="F504" s="9"/>
      <c r="J504" s="9"/>
      <c r="K504" s="9"/>
      <c r="L504" s="9"/>
      <c r="N504" s="9"/>
      <c r="O504" s="9"/>
      <c r="P504" s="9"/>
      <c r="Q504" s="9"/>
      <c r="R504" s="9"/>
      <c r="S504" s="12"/>
      <c r="T504" s="9"/>
      <c r="U504" s="9"/>
      <c r="V504" s="12"/>
      <c r="W504" s="12"/>
      <c r="X504" s="12"/>
      <c r="Y504" s="15"/>
      <c r="Z504" s="15"/>
      <c r="AA504" s="15"/>
      <c r="AB504" s="15"/>
      <c r="AC504" s="15"/>
      <c r="AD504" s="15"/>
      <c r="AE504" s="15"/>
      <c r="AF504" s="16"/>
      <c r="AG504" s="16"/>
      <c r="AH504" s="16"/>
      <c r="AI504" s="16"/>
      <c r="AJ504" s="16"/>
      <c r="AK504" s="16"/>
      <c r="AL504" s="16"/>
      <c r="AM504" s="16"/>
      <c r="AN504" s="16"/>
      <c r="AO504" s="16"/>
      <c r="AP504" s="16"/>
      <c r="AQ504" s="16"/>
      <c r="AR504" s="16"/>
      <c r="AS504" s="16"/>
      <c r="AT504" s="16"/>
      <c r="AU504" s="16"/>
      <c r="AV504" s="16"/>
      <c r="AW504" s="16"/>
      <c r="AX504" s="16"/>
      <c r="AY504" s="16"/>
      <c r="AZ504" s="16"/>
      <c r="BA504" s="16"/>
      <c r="BB504" s="16"/>
      <c r="BC504" s="16"/>
      <c r="BD504" s="16"/>
      <c r="BE504" s="16"/>
      <c r="BF504" s="16"/>
      <c r="BG504" s="16"/>
      <c r="BH504" s="16"/>
    </row>
    <row r="505" spans="6:60" s="22" customFormat="1">
      <c r="F505" s="9"/>
      <c r="J505" s="9"/>
      <c r="K505" s="9"/>
      <c r="L505" s="9"/>
      <c r="N505" s="9"/>
      <c r="O505" s="9"/>
      <c r="P505" s="9"/>
      <c r="Q505" s="9"/>
      <c r="R505" s="9"/>
      <c r="S505" s="12"/>
      <c r="T505" s="9"/>
      <c r="U505" s="9"/>
      <c r="V505" s="12"/>
      <c r="W505" s="12"/>
      <c r="X505" s="12"/>
      <c r="Y505" s="15"/>
      <c r="Z505" s="15"/>
      <c r="AA505" s="15"/>
      <c r="AB505" s="15"/>
      <c r="AC505" s="15"/>
      <c r="AD505" s="15"/>
      <c r="AE505" s="15"/>
      <c r="AF505" s="16"/>
      <c r="AG505" s="16"/>
      <c r="AH505" s="16"/>
      <c r="AI505" s="16"/>
      <c r="AJ505" s="16"/>
      <c r="AK505" s="16"/>
      <c r="AL505" s="16"/>
      <c r="AM505" s="16"/>
      <c r="AN505" s="16"/>
      <c r="AO505" s="16"/>
      <c r="AP505" s="16"/>
      <c r="AQ505" s="16"/>
      <c r="AR505" s="16"/>
      <c r="AS505" s="16"/>
      <c r="AT505" s="16"/>
      <c r="AU505" s="16"/>
      <c r="AV505" s="16"/>
      <c r="AW505" s="16"/>
      <c r="AX505" s="16"/>
      <c r="AY505" s="16"/>
      <c r="AZ505" s="16"/>
      <c r="BA505" s="16"/>
      <c r="BB505" s="16"/>
      <c r="BC505" s="16"/>
      <c r="BD505" s="16"/>
      <c r="BE505" s="16"/>
      <c r="BF505" s="16"/>
      <c r="BG505" s="16"/>
      <c r="BH505" s="16"/>
    </row>
    <row r="506" spans="6:60" s="22" customFormat="1">
      <c r="F506" s="9"/>
      <c r="J506" s="9"/>
      <c r="K506" s="9"/>
      <c r="L506" s="9"/>
      <c r="N506" s="9"/>
      <c r="O506" s="9"/>
      <c r="P506" s="9"/>
      <c r="Q506" s="9"/>
      <c r="R506" s="9"/>
      <c r="S506" s="12"/>
      <c r="T506" s="9"/>
      <c r="U506" s="9"/>
      <c r="V506" s="12"/>
      <c r="W506" s="12"/>
      <c r="X506" s="12"/>
      <c r="Y506" s="15"/>
      <c r="Z506" s="15"/>
      <c r="AA506" s="15"/>
      <c r="AB506" s="15"/>
      <c r="AC506" s="15"/>
      <c r="AD506" s="15"/>
      <c r="AE506" s="15"/>
      <c r="AF506" s="16"/>
      <c r="AG506" s="16"/>
      <c r="AH506" s="16"/>
      <c r="AI506" s="16"/>
      <c r="AJ506" s="16"/>
      <c r="AK506" s="16"/>
      <c r="AL506" s="16"/>
      <c r="AM506" s="16"/>
      <c r="AN506" s="16"/>
      <c r="AO506" s="16"/>
      <c r="AP506" s="16"/>
      <c r="AQ506" s="16"/>
      <c r="AR506" s="16"/>
      <c r="AS506" s="16"/>
      <c r="AT506" s="16"/>
      <c r="AU506" s="16"/>
      <c r="AV506" s="16"/>
      <c r="AW506" s="16"/>
      <c r="AX506" s="16"/>
      <c r="AY506" s="16"/>
      <c r="AZ506" s="16"/>
      <c r="BA506" s="16"/>
      <c r="BB506" s="16"/>
      <c r="BC506" s="16"/>
      <c r="BD506" s="16"/>
      <c r="BE506" s="16"/>
      <c r="BF506" s="16"/>
      <c r="BG506" s="16"/>
      <c r="BH506" s="16"/>
    </row>
    <row r="507" spans="6:60" s="22" customFormat="1">
      <c r="F507" s="9"/>
      <c r="J507" s="9"/>
      <c r="K507" s="9"/>
      <c r="L507" s="9"/>
      <c r="N507" s="9"/>
      <c r="O507" s="9"/>
      <c r="P507" s="9"/>
      <c r="Q507" s="9"/>
      <c r="R507" s="9"/>
      <c r="S507" s="12"/>
      <c r="T507" s="9"/>
      <c r="U507" s="9"/>
      <c r="V507" s="12"/>
      <c r="W507" s="12"/>
      <c r="X507" s="12"/>
      <c r="Y507" s="15"/>
      <c r="Z507" s="15"/>
      <c r="AA507" s="15"/>
      <c r="AB507" s="15"/>
      <c r="AC507" s="15"/>
      <c r="AD507" s="15"/>
      <c r="AE507" s="15"/>
      <c r="AF507" s="16"/>
      <c r="AG507" s="16"/>
      <c r="AH507" s="16"/>
      <c r="AI507" s="16"/>
      <c r="AJ507" s="16"/>
      <c r="AK507" s="16"/>
      <c r="AL507" s="16"/>
      <c r="AM507" s="16"/>
      <c r="AN507" s="16"/>
      <c r="AO507" s="16"/>
      <c r="AP507" s="16"/>
      <c r="AQ507" s="16"/>
      <c r="AR507" s="16"/>
      <c r="AS507" s="16"/>
      <c r="AT507" s="16"/>
      <c r="AU507" s="16"/>
      <c r="AV507" s="16"/>
      <c r="AW507" s="16"/>
      <c r="AX507" s="16"/>
      <c r="AY507" s="16"/>
      <c r="AZ507" s="16"/>
      <c r="BA507" s="16"/>
      <c r="BB507" s="16"/>
      <c r="BC507" s="16"/>
      <c r="BD507" s="16"/>
      <c r="BE507" s="16"/>
      <c r="BF507" s="16"/>
      <c r="BG507" s="16"/>
      <c r="BH507" s="16"/>
    </row>
    <row r="508" spans="6:60" s="22" customFormat="1">
      <c r="F508" s="9"/>
      <c r="J508" s="9"/>
      <c r="K508" s="9"/>
      <c r="L508" s="9"/>
      <c r="N508" s="9"/>
      <c r="O508" s="9"/>
      <c r="P508" s="9"/>
      <c r="Q508" s="9"/>
      <c r="R508" s="9"/>
      <c r="S508" s="12"/>
      <c r="T508" s="9"/>
      <c r="U508" s="9"/>
      <c r="V508" s="12"/>
      <c r="W508" s="12"/>
      <c r="X508" s="12"/>
      <c r="Y508" s="15"/>
      <c r="Z508" s="15"/>
      <c r="AA508" s="15"/>
      <c r="AB508" s="15"/>
      <c r="AC508" s="15"/>
      <c r="AD508" s="15"/>
      <c r="AE508" s="15"/>
      <c r="AF508" s="16"/>
      <c r="AG508" s="16"/>
      <c r="AH508" s="16"/>
      <c r="AI508" s="16"/>
      <c r="AJ508" s="16"/>
      <c r="AK508" s="16"/>
      <c r="AL508" s="16"/>
      <c r="AM508" s="16"/>
      <c r="AN508" s="16"/>
      <c r="AO508" s="16"/>
      <c r="AP508" s="16"/>
      <c r="AQ508" s="16"/>
      <c r="AR508" s="16"/>
      <c r="AS508" s="16"/>
      <c r="AT508" s="16"/>
      <c r="AU508" s="16"/>
      <c r="AV508" s="16"/>
      <c r="AW508" s="16"/>
      <c r="AX508" s="16"/>
      <c r="AY508" s="16"/>
      <c r="AZ508" s="16"/>
      <c r="BA508" s="16"/>
      <c r="BB508" s="16"/>
      <c r="BC508" s="16"/>
      <c r="BD508" s="16"/>
      <c r="BE508" s="16"/>
      <c r="BF508" s="16"/>
      <c r="BG508" s="16"/>
      <c r="BH508" s="16"/>
    </row>
    <row r="509" spans="6:60" s="22" customFormat="1">
      <c r="F509" s="9"/>
      <c r="J509" s="9"/>
      <c r="K509" s="9"/>
      <c r="L509" s="9"/>
      <c r="N509" s="9"/>
      <c r="O509" s="9"/>
      <c r="P509" s="9"/>
      <c r="Q509" s="9"/>
      <c r="R509" s="9"/>
      <c r="S509" s="12"/>
      <c r="T509" s="9"/>
      <c r="U509" s="9"/>
      <c r="V509" s="12"/>
      <c r="W509" s="12"/>
      <c r="X509" s="12"/>
      <c r="Y509" s="15"/>
      <c r="Z509" s="15"/>
      <c r="AA509" s="15"/>
      <c r="AB509" s="15"/>
      <c r="AC509" s="15"/>
      <c r="AD509" s="15"/>
      <c r="AE509" s="15"/>
      <c r="AF509" s="16"/>
      <c r="AG509" s="16"/>
      <c r="AH509" s="16"/>
      <c r="AI509" s="16"/>
      <c r="AJ509" s="16"/>
      <c r="AK509" s="16"/>
      <c r="AL509" s="16"/>
      <c r="AM509" s="16"/>
      <c r="AN509" s="16"/>
      <c r="AO509" s="16"/>
      <c r="AP509" s="16"/>
      <c r="AQ509" s="16"/>
      <c r="AR509" s="16"/>
      <c r="AS509" s="16"/>
      <c r="AT509" s="16"/>
      <c r="AU509" s="16"/>
      <c r="AV509" s="16"/>
      <c r="AW509" s="16"/>
      <c r="AX509" s="16"/>
      <c r="AY509" s="16"/>
      <c r="AZ509" s="16"/>
      <c r="BA509" s="16"/>
      <c r="BB509" s="16"/>
      <c r="BC509" s="16"/>
      <c r="BD509" s="16"/>
      <c r="BE509" s="16"/>
      <c r="BF509" s="16"/>
      <c r="BG509" s="16"/>
      <c r="BH509" s="16"/>
    </row>
    <row r="510" spans="6:60" s="22" customFormat="1">
      <c r="F510" s="9"/>
      <c r="J510" s="9"/>
      <c r="K510" s="9"/>
      <c r="L510" s="9"/>
      <c r="N510" s="9"/>
      <c r="O510" s="9"/>
      <c r="P510" s="9"/>
      <c r="Q510" s="9"/>
      <c r="R510" s="9"/>
      <c r="S510" s="12"/>
      <c r="T510" s="9"/>
      <c r="U510" s="9"/>
      <c r="V510" s="12"/>
      <c r="W510" s="12"/>
      <c r="X510" s="12"/>
      <c r="Y510" s="15"/>
      <c r="Z510" s="15"/>
      <c r="AA510" s="15"/>
      <c r="AB510" s="15"/>
      <c r="AC510" s="15"/>
      <c r="AD510" s="15"/>
      <c r="AE510" s="15"/>
      <c r="AF510" s="16"/>
      <c r="AG510" s="16"/>
      <c r="AH510" s="16"/>
      <c r="AI510" s="16"/>
      <c r="AJ510" s="16"/>
      <c r="AK510" s="16"/>
      <c r="AL510" s="16"/>
      <c r="AM510" s="16"/>
      <c r="AN510" s="16"/>
      <c r="AO510" s="16"/>
      <c r="AP510" s="16"/>
      <c r="AQ510" s="16"/>
      <c r="AR510" s="16"/>
      <c r="AS510" s="16"/>
      <c r="AT510" s="16"/>
      <c r="AU510" s="16"/>
      <c r="AV510" s="16"/>
      <c r="AW510" s="16"/>
      <c r="AX510" s="16"/>
      <c r="AY510" s="16"/>
      <c r="AZ510" s="16"/>
      <c r="BA510" s="16"/>
      <c r="BB510" s="16"/>
      <c r="BC510" s="16"/>
      <c r="BD510" s="16"/>
      <c r="BE510" s="16"/>
      <c r="BF510" s="16"/>
      <c r="BG510" s="16"/>
      <c r="BH510" s="16"/>
    </row>
    <row r="511" spans="6:60" s="22" customFormat="1">
      <c r="F511" s="9"/>
      <c r="J511" s="9"/>
      <c r="K511" s="9"/>
      <c r="L511" s="9"/>
      <c r="N511" s="9"/>
      <c r="O511" s="9"/>
      <c r="P511" s="9"/>
      <c r="Q511" s="9"/>
      <c r="R511" s="9"/>
      <c r="S511" s="12"/>
      <c r="T511" s="9"/>
      <c r="U511" s="9"/>
      <c r="V511" s="12"/>
      <c r="W511" s="12"/>
      <c r="X511" s="12"/>
      <c r="Y511" s="15"/>
      <c r="Z511" s="15"/>
      <c r="AA511" s="15"/>
      <c r="AB511" s="15"/>
      <c r="AC511" s="15"/>
      <c r="AD511" s="15"/>
      <c r="AE511" s="15"/>
      <c r="AF511" s="16"/>
      <c r="AG511" s="16"/>
      <c r="AH511" s="16"/>
      <c r="AI511" s="16"/>
      <c r="AJ511" s="16"/>
      <c r="AK511" s="16"/>
      <c r="AL511" s="16"/>
      <c r="AM511" s="16"/>
      <c r="AN511" s="16"/>
      <c r="AO511" s="16"/>
      <c r="AP511" s="16"/>
      <c r="AQ511" s="16"/>
      <c r="AR511" s="16"/>
      <c r="AS511" s="16"/>
      <c r="AT511" s="16"/>
      <c r="AU511" s="16"/>
      <c r="AV511" s="16"/>
      <c r="AW511" s="16"/>
      <c r="AX511" s="16"/>
      <c r="AY511" s="16"/>
      <c r="AZ511" s="16"/>
      <c r="BA511" s="16"/>
      <c r="BB511" s="16"/>
      <c r="BC511" s="16"/>
      <c r="BD511" s="16"/>
      <c r="BE511" s="16"/>
      <c r="BF511" s="16"/>
      <c r="BG511" s="16"/>
      <c r="BH511" s="16"/>
    </row>
    <row r="512" spans="6:60" s="22" customFormat="1">
      <c r="F512" s="9"/>
      <c r="J512" s="9"/>
      <c r="K512" s="9"/>
      <c r="L512" s="9"/>
      <c r="N512" s="9"/>
      <c r="O512" s="9"/>
      <c r="P512" s="9"/>
      <c r="Q512" s="9"/>
      <c r="R512" s="9"/>
      <c r="S512" s="12"/>
      <c r="T512" s="9"/>
      <c r="U512" s="9"/>
      <c r="V512" s="12"/>
      <c r="W512" s="12"/>
      <c r="X512" s="12"/>
      <c r="Y512" s="15"/>
      <c r="Z512" s="15"/>
      <c r="AA512" s="15"/>
      <c r="AB512" s="15"/>
      <c r="AC512" s="15"/>
      <c r="AD512" s="15"/>
      <c r="AE512" s="15"/>
      <c r="AF512" s="16"/>
      <c r="AG512" s="16"/>
      <c r="AH512" s="16"/>
      <c r="AI512" s="16"/>
      <c r="AJ512" s="16"/>
      <c r="AK512" s="16"/>
      <c r="AL512" s="16"/>
      <c r="AM512" s="16"/>
      <c r="AN512" s="16"/>
      <c r="AO512" s="16"/>
      <c r="AP512" s="16"/>
      <c r="AQ512" s="16"/>
      <c r="AR512" s="16"/>
      <c r="AS512" s="16"/>
      <c r="AT512" s="16"/>
      <c r="AU512" s="16"/>
      <c r="AV512" s="16"/>
      <c r="AW512" s="16"/>
      <c r="AX512" s="16"/>
      <c r="AY512" s="16"/>
      <c r="AZ512" s="16"/>
      <c r="BA512" s="16"/>
      <c r="BB512" s="16"/>
      <c r="BC512" s="16"/>
      <c r="BD512" s="16"/>
      <c r="BE512" s="16"/>
      <c r="BF512" s="16"/>
      <c r="BG512" s="16"/>
      <c r="BH512" s="16"/>
    </row>
    <row r="513" spans="6:60" s="22" customFormat="1">
      <c r="F513" s="9"/>
      <c r="J513" s="9"/>
      <c r="K513" s="9"/>
      <c r="L513" s="9"/>
      <c r="N513" s="9"/>
      <c r="O513" s="9"/>
      <c r="P513" s="9"/>
      <c r="Q513" s="9"/>
      <c r="R513" s="9"/>
      <c r="S513" s="12"/>
      <c r="T513" s="9"/>
      <c r="U513" s="9"/>
      <c r="V513" s="12"/>
      <c r="W513" s="12"/>
      <c r="X513" s="12"/>
      <c r="Y513" s="15"/>
      <c r="Z513" s="15"/>
      <c r="AA513" s="15"/>
      <c r="AB513" s="15"/>
      <c r="AC513" s="15"/>
      <c r="AD513" s="15"/>
      <c r="AE513" s="15"/>
      <c r="AF513" s="16"/>
      <c r="AG513" s="16"/>
      <c r="AH513" s="16"/>
      <c r="AI513" s="16"/>
      <c r="AJ513" s="16"/>
      <c r="AK513" s="16"/>
      <c r="AL513" s="16"/>
      <c r="AM513" s="16"/>
      <c r="AN513" s="16"/>
      <c r="AO513" s="16"/>
      <c r="AP513" s="16"/>
      <c r="AQ513" s="16"/>
      <c r="AR513" s="16"/>
      <c r="AS513" s="16"/>
      <c r="AT513" s="16"/>
      <c r="AU513" s="16"/>
      <c r="AV513" s="16"/>
      <c r="AW513" s="16"/>
      <c r="AX513" s="16"/>
      <c r="AY513" s="16"/>
      <c r="AZ513" s="16"/>
      <c r="BA513" s="16"/>
      <c r="BB513" s="16"/>
      <c r="BC513" s="16"/>
      <c r="BD513" s="16"/>
      <c r="BE513" s="16"/>
      <c r="BF513" s="16"/>
      <c r="BG513" s="16"/>
      <c r="BH513" s="16"/>
    </row>
    <row r="514" spans="6:60" s="22" customFormat="1">
      <c r="F514" s="9"/>
      <c r="J514" s="9"/>
      <c r="K514" s="9"/>
      <c r="L514" s="9"/>
      <c r="N514" s="9"/>
      <c r="O514" s="9"/>
      <c r="P514" s="9"/>
      <c r="Q514" s="9"/>
      <c r="R514" s="9"/>
      <c r="S514" s="12"/>
      <c r="T514" s="9"/>
      <c r="U514" s="9"/>
      <c r="V514" s="12"/>
      <c r="W514" s="12"/>
      <c r="X514" s="12"/>
      <c r="Y514" s="15"/>
      <c r="Z514" s="15"/>
      <c r="AA514" s="15"/>
      <c r="AB514" s="15"/>
      <c r="AC514" s="15"/>
      <c r="AD514" s="15"/>
      <c r="AE514" s="15"/>
      <c r="AF514" s="16"/>
      <c r="AG514" s="16"/>
      <c r="AH514" s="16"/>
      <c r="AI514" s="16"/>
      <c r="AJ514" s="16"/>
      <c r="AK514" s="16"/>
      <c r="AL514" s="16"/>
      <c r="AM514" s="16"/>
      <c r="AN514" s="16"/>
      <c r="AO514" s="16"/>
      <c r="AP514" s="16"/>
      <c r="AQ514" s="16"/>
      <c r="AR514" s="16"/>
      <c r="AS514" s="16"/>
      <c r="AT514" s="16"/>
      <c r="AU514" s="16"/>
      <c r="AV514" s="16"/>
      <c r="AW514" s="16"/>
      <c r="AX514" s="16"/>
      <c r="AY514" s="16"/>
      <c r="AZ514" s="16"/>
      <c r="BA514" s="16"/>
      <c r="BB514" s="16"/>
      <c r="BC514" s="16"/>
      <c r="BD514" s="16"/>
      <c r="BE514" s="16"/>
      <c r="BF514" s="16"/>
      <c r="BG514" s="16"/>
      <c r="BH514" s="16"/>
    </row>
    <row r="515" spans="6:60" s="22" customFormat="1">
      <c r="F515" s="9"/>
      <c r="J515" s="9"/>
      <c r="K515" s="9"/>
      <c r="L515" s="9"/>
      <c r="N515" s="9"/>
      <c r="O515" s="9"/>
      <c r="P515" s="9"/>
      <c r="Q515" s="9"/>
      <c r="R515" s="9"/>
      <c r="S515" s="12"/>
      <c r="T515" s="9"/>
      <c r="U515" s="9"/>
      <c r="V515" s="12"/>
      <c r="W515" s="12"/>
      <c r="X515" s="12"/>
      <c r="Y515" s="15"/>
      <c r="Z515" s="15"/>
      <c r="AA515" s="15"/>
      <c r="AB515" s="15"/>
      <c r="AC515" s="15"/>
      <c r="AD515" s="15"/>
      <c r="AE515" s="15"/>
      <c r="AF515" s="16"/>
      <c r="AG515" s="16"/>
      <c r="AH515" s="16"/>
      <c r="AI515" s="16"/>
      <c r="AJ515" s="16"/>
      <c r="AK515" s="16"/>
      <c r="AL515" s="16"/>
      <c r="AM515" s="16"/>
      <c r="AN515" s="16"/>
      <c r="AO515" s="16"/>
      <c r="AP515" s="16"/>
      <c r="AQ515" s="16"/>
      <c r="AR515" s="16"/>
      <c r="AS515" s="16"/>
      <c r="AT515" s="16"/>
      <c r="AU515" s="16"/>
      <c r="AV515" s="16"/>
      <c r="AW515" s="16"/>
      <c r="AX515" s="16"/>
      <c r="AY515" s="16"/>
      <c r="AZ515" s="16"/>
      <c r="BA515" s="16"/>
      <c r="BB515" s="16"/>
      <c r="BC515" s="16"/>
      <c r="BD515" s="16"/>
      <c r="BE515" s="16"/>
      <c r="BF515" s="16"/>
      <c r="BG515" s="16"/>
      <c r="BH515" s="16"/>
    </row>
    <row r="516" spans="6:60" s="22" customFormat="1">
      <c r="F516" s="9"/>
      <c r="J516" s="9"/>
      <c r="K516" s="9"/>
      <c r="L516" s="9"/>
      <c r="N516" s="9"/>
      <c r="O516" s="9"/>
      <c r="P516" s="9"/>
      <c r="Q516" s="9"/>
      <c r="R516" s="9"/>
      <c r="S516" s="12"/>
      <c r="T516" s="9"/>
      <c r="U516" s="9"/>
      <c r="V516" s="12"/>
      <c r="W516" s="12"/>
      <c r="X516" s="12"/>
      <c r="Y516" s="15"/>
      <c r="Z516" s="15"/>
      <c r="AA516" s="15"/>
      <c r="AB516" s="15"/>
      <c r="AC516" s="15"/>
      <c r="AD516" s="15"/>
      <c r="AE516" s="15"/>
      <c r="AF516" s="16"/>
      <c r="AG516" s="16"/>
      <c r="AH516" s="16"/>
      <c r="AI516" s="16"/>
      <c r="AJ516" s="16"/>
      <c r="AK516" s="16"/>
      <c r="AL516" s="16"/>
      <c r="AM516" s="16"/>
      <c r="AN516" s="16"/>
      <c r="AO516" s="16"/>
      <c r="AP516" s="16"/>
      <c r="AQ516" s="16"/>
      <c r="AR516" s="16"/>
      <c r="AS516" s="16"/>
      <c r="AT516" s="16"/>
      <c r="AU516" s="16"/>
      <c r="AV516" s="16"/>
      <c r="AW516" s="16"/>
      <c r="AX516" s="16"/>
      <c r="AY516" s="16"/>
      <c r="AZ516" s="16"/>
      <c r="BA516" s="16"/>
      <c r="BB516" s="16"/>
      <c r="BC516" s="16"/>
      <c r="BD516" s="16"/>
      <c r="BE516" s="16"/>
      <c r="BF516" s="16"/>
      <c r="BG516" s="16"/>
      <c r="BH516" s="16"/>
    </row>
    <row r="517" spans="6:60" s="22" customFormat="1">
      <c r="F517" s="9"/>
      <c r="J517" s="9"/>
      <c r="K517" s="9"/>
      <c r="L517" s="9"/>
      <c r="N517" s="9"/>
      <c r="O517" s="9"/>
      <c r="P517" s="9"/>
      <c r="Q517" s="9"/>
      <c r="R517" s="9"/>
      <c r="S517" s="12"/>
      <c r="T517" s="9"/>
      <c r="U517" s="9"/>
      <c r="V517" s="12"/>
      <c r="W517" s="12"/>
      <c r="X517" s="12"/>
      <c r="Y517" s="15"/>
      <c r="Z517" s="15"/>
      <c r="AA517" s="15"/>
      <c r="AB517" s="15"/>
      <c r="AC517" s="15"/>
      <c r="AD517" s="15"/>
      <c r="AE517" s="15"/>
      <c r="AF517" s="16"/>
      <c r="AG517" s="16"/>
      <c r="AH517" s="16"/>
      <c r="AI517" s="16"/>
      <c r="AJ517" s="16"/>
      <c r="AK517" s="16"/>
      <c r="AL517" s="16"/>
      <c r="AM517" s="16"/>
      <c r="AN517" s="16"/>
      <c r="AO517" s="16"/>
      <c r="AP517" s="16"/>
      <c r="AQ517" s="16"/>
      <c r="AR517" s="16"/>
      <c r="AS517" s="16"/>
      <c r="AT517" s="16"/>
      <c r="AU517" s="16"/>
      <c r="AV517" s="16"/>
      <c r="AW517" s="16"/>
      <c r="AX517" s="16"/>
      <c r="AY517" s="16"/>
      <c r="AZ517" s="16"/>
      <c r="BA517" s="16"/>
      <c r="BB517" s="16"/>
      <c r="BC517" s="16"/>
      <c r="BD517" s="16"/>
      <c r="BE517" s="16"/>
      <c r="BF517" s="16"/>
      <c r="BG517" s="16"/>
      <c r="BH517" s="16"/>
    </row>
    <row r="518" spans="6:60" s="22" customFormat="1">
      <c r="F518" s="9"/>
      <c r="J518" s="9"/>
      <c r="K518" s="9"/>
      <c r="L518" s="9"/>
      <c r="N518" s="9"/>
      <c r="O518" s="9"/>
      <c r="P518" s="9"/>
      <c r="Q518" s="9"/>
      <c r="R518" s="9"/>
      <c r="S518" s="12"/>
      <c r="T518" s="9"/>
      <c r="U518" s="9"/>
      <c r="V518" s="12"/>
      <c r="W518" s="12"/>
      <c r="X518" s="12"/>
      <c r="Y518" s="15"/>
      <c r="Z518" s="15"/>
      <c r="AA518" s="15"/>
      <c r="AB518" s="15"/>
      <c r="AC518" s="15"/>
      <c r="AD518" s="15"/>
      <c r="AE518" s="15"/>
      <c r="AF518" s="16"/>
      <c r="AG518" s="16"/>
      <c r="AH518" s="16"/>
      <c r="AI518" s="16"/>
      <c r="AJ518" s="16"/>
      <c r="AK518" s="16"/>
      <c r="AL518" s="16"/>
      <c r="AM518" s="16"/>
      <c r="AN518" s="16"/>
      <c r="AO518" s="16"/>
      <c r="AP518" s="16"/>
      <c r="AQ518" s="16"/>
      <c r="AR518" s="16"/>
      <c r="AS518" s="16"/>
      <c r="AT518" s="16"/>
      <c r="AU518" s="16"/>
      <c r="AV518" s="16"/>
      <c r="AW518" s="16"/>
      <c r="AX518" s="16"/>
      <c r="AY518" s="16"/>
      <c r="AZ518" s="16"/>
      <c r="BA518" s="16"/>
      <c r="BB518" s="16"/>
      <c r="BC518" s="16"/>
      <c r="BD518" s="16"/>
      <c r="BE518" s="16"/>
      <c r="BF518" s="16"/>
      <c r="BG518" s="16"/>
      <c r="BH518" s="16"/>
    </row>
    <row r="519" spans="6:60" s="22" customFormat="1">
      <c r="F519" s="9"/>
      <c r="J519" s="9"/>
      <c r="K519" s="9"/>
      <c r="L519" s="9"/>
      <c r="N519" s="9"/>
      <c r="O519" s="9"/>
      <c r="P519" s="9"/>
      <c r="Q519" s="9"/>
      <c r="R519" s="9"/>
      <c r="S519" s="12"/>
      <c r="T519" s="9"/>
      <c r="U519" s="9"/>
      <c r="V519" s="12"/>
      <c r="W519" s="12"/>
      <c r="X519" s="12"/>
      <c r="Y519" s="15"/>
      <c r="Z519" s="15"/>
      <c r="AA519" s="15"/>
      <c r="AB519" s="15"/>
      <c r="AC519" s="15"/>
      <c r="AD519" s="15"/>
      <c r="AE519" s="15"/>
      <c r="AF519" s="16"/>
      <c r="AG519" s="16"/>
      <c r="AH519" s="16"/>
      <c r="AI519" s="16"/>
      <c r="AJ519" s="16"/>
      <c r="AK519" s="16"/>
      <c r="AL519" s="16"/>
      <c r="AM519" s="16"/>
      <c r="AN519" s="16"/>
      <c r="AO519" s="16"/>
      <c r="AP519" s="16"/>
      <c r="AQ519" s="16"/>
      <c r="AR519" s="16"/>
      <c r="AS519" s="16"/>
      <c r="AT519" s="16"/>
      <c r="AU519" s="16"/>
      <c r="AV519" s="16"/>
      <c r="AW519" s="16"/>
      <c r="AX519" s="16"/>
      <c r="AY519" s="16"/>
      <c r="AZ519" s="16"/>
      <c r="BA519" s="16"/>
      <c r="BB519" s="16"/>
      <c r="BC519" s="16"/>
      <c r="BD519" s="16"/>
      <c r="BE519" s="16"/>
      <c r="BF519" s="16"/>
      <c r="BG519" s="16"/>
      <c r="BH519" s="16"/>
    </row>
    <row r="520" spans="6:60" s="22" customFormat="1">
      <c r="F520" s="9"/>
      <c r="J520" s="9"/>
      <c r="K520" s="9"/>
      <c r="L520" s="9"/>
      <c r="N520" s="9"/>
      <c r="O520" s="9"/>
      <c r="P520" s="9"/>
      <c r="Q520" s="9"/>
      <c r="R520" s="9"/>
      <c r="S520" s="12"/>
      <c r="T520" s="9"/>
      <c r="U520" s="9"/>
      <c r="V520" s="12"/>
      <c r="W520" s="12"/>
      <c r="X520" s="12"/>
      <c r="Y520" s="15"/>
      <c r="Z520" s="15"/>
      <c r="AA520" s="15"/>
      <c r="AB520" s="15"/>
      <c r="AC520" s="15"/>
      <c r="AD520" s="15"/>
      <c r="AE520" s="15"/>
      <c r="AF520" s="16"/>
      <c r="AG520" s="16"/>
      <c r="AH520" s="16"/>
      <c r="AI520" s="16"/>
      <c r="AJ520" s="16"/>
      <c r="AK520" s="16"/>
      <c r="AL520" s="16"/>
      <c r="AM520" s="16"/>
      <c r="AN520" s="16"/>
      <c r="AO520" s="16"/>
      <c r="AP520" s="16"/>
      <c r="AQ520" s="16"/>
      <c r="AR520" s="16"/>
      <c r="AS520" s="16"/>
      <c r="AT520" s="16"/>
      <c r="AU520" s="16"/>
      <c r="AV520" s="16"/>
      <c r="AW520" s="16"/>
      <c r="AX520" s="16"/>
      <c r="AY520" s="16"/>
      <c r="AZ520" s="16"/>
      <c r="BA520" s="16"/>
      <c r="BB520" s="16"/>
      <c r="BC520" s="16"/>
      <c r="BD520" s="16"/>
      <c r="BE520" s="16"/>
      <c r="BF520" s="16"/>
      <c r="BG520" s="16"/>
      <c r="BH520" s="16"/>
    </row>
    <row r="521" spans="6:60" s="22" customFormat="1">
      <c r="F521" s="9"/>
      <c r="J521" s="9"/>
      <c r="K521" s="9"/>
      <c r="L521" s="9"/>
      <c r="N521" s="9"/>
      <c r="O521" s="9"/>
      <c r="P521" s="9"/>
      <c r="Q521" s="9"/>
      <c r="R521" s="9"/>
      <c r="S521" s="12"/>
      <c r="T521" s="9"/>
      <c r="U521" s="9"/>
      <c r="V521" s="12"/>
      <c r="W521" s="12"/>
      <c r="X521" s="12"/>
      <c r="Y521" s="15"/>
      <c r="Z521" s="15"/>
      <c r="AA521" s="15"/>
      <c r="AB521" s="15"/>
      <c r="AC521" s="15"/>
      <c r="AD521" s="15"/>
      <c r="AE521" s="15"/>
      <c r="AF521" s="16"/>
      <c r="AG521" s="16"/>
      <c r="AH521" s="16"/>
      <c r="AI521" s="16"/>
      <c r="AJ521" s="16"/>
      <c r="AK521" s="16"/>
      <c r="AL521" s="16"/>
      <c r="AM521" s="16"/>
      <c r="AN521" s="16"/>
      <c r="AO521" s="16"/>
      <c r="AP521" s="16"/>
      <c r="AQ521" s="16"/>
      <c r="AR521" s="16"/>
      <c r="AS521" s="16"/>
      <c r="AT521" s="16"/>
      <c r="AU521" s="16"/>
      <c r="AV521" s="16"/>
      <c r="AW521" s="16"/>
      <c r="AX521" s="16"/>
      <c r="AY521" s="16"/>
      <c r="AZ521" s="16"/>
      <c r="BA521" s="16"/>
      <c r="BB521" s="16"/>
      <c r="BC521" s="16"/>
      <c r="BD521" s="16"/>
      <c r="BE521" s="16"/>
      <c r="BF521" s="16"/>
      <c r="BG521" s="16"/>
      <c r="BH521" s="16"/>
    </row>
    <row r="522" spans="6:60" s="22" customFormat="1">
      <c r="F522" s="9"/>
      <c r="J522" s="9"/>
      <c r="K522" s="9"/>
      <c r="L522" s="9"/>
      <c r="N522" s="9"/>
      <c r="O522" s="9"/>
      <c r="P522" s="9"/>
      <c r="Q522" s="9"/>
      <c r="R522" s="9"/>
      <c r="S522" s="12"/>
      <c r="T522" s="9"/>
      <c r="U522" s="9"/>
      <c r="V522" s="12"/>
      <c r="W522" s="12"/>
      <c r="X522" s="12"/>
      <c r="Y522" s="15"/>
      <c r="Z522" s="15"/>
      <c r="AA522" s="15"/>
      <c r="AB522" s="15"/>
      <c r="AC522" s="15"/>
      <c r="AD522" s="15"/>
      <c r="AE522" s="15"/>
      <c r="AF522" s="16"/>
      <c r="AG522" s="16"/>
      <c r="AH522" s="16"/>
      <c r="AI522" s="16"/>
      <c r="AJ522" s="16"/>
      <c r="AK522" s="16"/>
      <c r="AL522" s="16"/>
      <c r="AM522" s="16"/>
      <c r="AN522" s="16"/>
      <c r="AO522" s="16"/>
      <c r="AP522" s="16"/>
      <c r="AQ522" s="16"/>
      <c r="AR522" s="16"/>
      <c r="AS522" s="16"/>
      <c r="AT522" s="16"/>
      <c r="AU522" s="16"/>
      <c r="AV522" s="16"/>
      <c r="AW522" s="16"/>
      <c r="AX522" s="16"/>
      <c r="AY522" s="16"/>
      <c r="AZ522" s="16"/>
      <c r="BA522" s="16"/>
      <c r="BB522" s="16"/>
      <c r="BC522" s="16"/>
      <c r="BD522" s="16"/>
      <c r="BE522" s="16"/>
      <c r="BF522" s="16"/>
      <c r="BG522" s="16"/>
      <c r="BH522" s="16"/>
    </row>
    <row r="523" spans="6:60" s="22" customFormat="1">
      <c r="F523" s="9"/>
      <c r="J523" s="9"/>
      <c r="K523" s="9"/>
      <c r="L523" s="9"/>
      <c r="N523" s="9"/>
      <c r="O523" s="9"/>
      <c r="P523" s="9"/>
      <c r="Q523" s="9"/>
      <c r="R523" s="9"/>
      <c r="S523" s="12"/>
      <c r="T523" s="9"/>
      <c r="U523" s="9"/>
      <c r="V523" s="12"/>
      <c r="W523" s="12"/>
      <c r="X523" s="12"/>
      <c r="Y523" s="15"/>
      <c r="Z523" s="15"/>
      <c r="AA523" s="15"/>
      <c r="AB523" s="15"/>
      <c r="AC523" s="15"/>
      <c r="AD523" s="15"/>
      <c r="AE523" s="15"/>
      <c r="AF523" s="16"/>
      <c r="AG523" s="16"/>
      <c r="AH523" s="16"/>
      <c r="AI523" s="16"/>
      <c r="AJ523" s="16"/>
      <c r="AK523" s="16"/>
      <c r="AL523" s="16"/>
      <c r="AM523" s="16"/>
      <c r="AN523" s="16"/>
      <c r="AO523" s="16"/>
      <c r="AP523" s="16"/>
      <c r="AQ523" s="16"/>
      <c r="AR523" s="16"/>
      <c r="AS523" s="16"/>
      <c r="AT523" s="16"/>
      <c r="AU523" s="16"/>
      <c r="AV523" s="16"/>
      <c r="AW523" s="16"/>
      <c r="AX523" s="16"/>
      <c r="AY523" s="16"/>
      <c r="AZ523" s="16"/>
      <c r="BA523" s="16"/>
      <c r="BB523" s="16"/>
      <c r="BC523" s="16"/>
      <c r="BD523" s="16"/>
      <c r="BE523" s="16"/>
      <c r="BF523" s="16"/>
      <c r="BG523" s="16"/>
      <c r="BH523" s="16"/>
    </row>
    <row r="524" spans="6:60" s="22" customFormat="1">
      <c r="F524" s="9"/>
      <c r="J524" s="9"/>
      <c r="K524" s="9"/>
      <c r="L524" s="9"/>
      <c r="N524" s="9"/>
      <c r="O524" s="9"/>
      <c r="P524" s="9"/>
      <c r="Q524" s="9"/>
      <c r="R524" s="9"/>
      <c r="S524" s="12"/>
      <c r="T524" s="9"/>
      <c r="U524" s="9"/>
      <c r="V524" s="12"/>
      <c r="W524" s="12"/>
      <c r="X524" s="12"/>
      <c r="Y524" s="15"/>
      <c r="Z524" s="15"/>
      <c r="AA524" s="15"/>
      <c r="AB524" s="15"/>
      <c r="AC524" s="15"/>
      <c r="AD524" s="15"/>
      <c r="AE524" s="15"/>
      <c r="AF524" s="16"/>
      <c r="AG524" s="16"/>
      <c r="AH524" s="16"/>
      <c r="AI524" s="16"/>
      <c r="AJ524" s="16"/>
      <c r="AK524" s="16"/>
      <c r="AL524" s="16"/>
      <c r="AM524" s="16"/>
      <c r="AN524" s="16"/>
      <c r="AO524" s="16"/>
      <c r="AP524" s="16"/>
      <c r="AQ524" s="16"/>
      <c r="AR524" s="16"/>
      <c r="AS524" s="16"/>
      <c r="AT524" s="16"/>
      <c r="AU524" s="16"/>
      <c r="AV524" s="16"/>
      <c r="AW524" s="16"/>
      <c r="AX524" s="16"/>
      <c r="AY524" s="16"/>
      <c r="AZ524" s="16"/>
      <c r="BA524" s="16"/>
      <c r="BB524" s="16"/>
      <c r="BC524" s="16"/>
      <c r="BD524" s="16"/>
      <c r="BE524" s="16"/>
      <c r="BF524" s="16"/>
      <c r="BG524" s="16"/>
      <c r="BH524" s="16"/>
    </row>
    <row r="525" spans="6:60" s="22" customFormat="1">
      <c r="F525" s="9"/>
      <c r="J525" s="9"/>
      <c r="K525" s="9"/>
      <c r="L525" s="9"/>
      <c r="N525" s="9"/>
      <c r="O525" s="9"/>
      <c r="P525" s="9"/>
      <c r="Q525" s="9"/>
      <c r="R525" s="9"/>
      <c r="S525" s="12"/>
      <c r="T525" s="9"/>
      <c r="U525" s="9"/>
      <c r="V525" s="12"/>
      <c r="W525" s="12"/>
      <c r="X525" s="12"/>
      <c r="Y525" s="15"/>
      <c r="Z525" s="15"/>
      <c r="AA525" s="15"/>
      <c r="AB525" s="15"/>
      <c r="AC525" s="15"/>
      <c r="AD525" s="15"/>
      <c r="AE525" s="15"/>
      <c r="AF525" s="16"/>
      <c r="AG525" s="16"/>
      <c r="AH525" s="16"/>
      <c r="AI525" s="16"/>
      <c r="AJ525" s="16"/>
      <c r="AK525" s="16"/>
      <c r="AL525" s="16"/>
      <c r="AM525" s="16"/>
      <c r="AN525" s="16"/>
      <c r="AO525" s="16"/>
      <c r="AP525" s="16"/>
      <c r="AQ525" s="16"/>
      <c r="AR525" s="16"/>
      <c r="AS525" s="16"/>
      <c r="AT525" s="16"/>
      <c r="AU525" s="16"/>
      <c r="AV525" s="16"/>
      <c r="AW525" s="16"/>
      <c r="AX525" s="16"/>
      <c r="AY525" s="16"/>
      <c r="AZ525" s="16"/>
      <c r="BA525" s="16"/>
      <c r="BB525" s="16"/>
      <c r="BC525" s="16"/>
      <c r="BD525" s="16"/>
      <c r="BE525" s="16"/>
      <c r="BF525" s="16"/>
      <c r="BG525" s="16"/>
      <c r="BH525" s="16"/>
    </row>
    <row r="526" spans="6:60" s="22" customFormat="1">
      <c r="F526" s="9"/>
      <c r="J526" s="9"/>
      <c r="K526" s="9"/>
      <c r="L526" s="9"/>
      <c r="N526" s="9"/>
      <c r="O526" s="9"/>
      <c r="P526" s="9"/>
      <c r="Q526" s="9"/>
      <c r="R526" s="9"/>
      <c r="S526" s="12"/>
      <c r="T526" s="9"/>
      <c r="U526" s="9"/>
      <c r="V526" s="12"/>
      <c r="W526" s="12"/>
      <c r="X526" s="12"/>
      <c r="Y526" s="15"/>
      <c r="Z526" s="15"/>
      <c r="AA526" s="15"/>
      <c r="AB526" s="15"/>
      <c r="AC526" s="15"/>
      <c r="AD526" s="15"/>
      <c r="AE526" s="15"/>
      <c r="AF526" s="16"/>
      <c r="AG526" s="16"/>
      <c r="AH526" s="16"/>
      <c r="AI526" s="16"/>
      <c r="AJ526" s="16"/>
      <c r="AK526" s="16"/>
      <c r="AL526" s="16"/>
      <c r="AM526" s="16"/>
      <c r="AN526" s="16"/>
      <c r="AO526" s="16"/>
      <c r="AP526" s="16"/>
      <c r="AQ526" s="16"/>
      <c r="AR526" s="16"/>
      <c r="AS526" s="16"/>
      <c r="AT526" s="16"/>
      <c r="AU526" s="16"/>
      <c r="AV526" s="16"/>
      <c r="AW526" s="16"/>
      <c r="AX526" s="16"/>
      <c r="AY526" s="16"/>
      <c r="AZ526" s="16"/>
      <c r="BA526" s="16"/>
      <c r="BB526" s="16"/>
      <c r="BC526" s="16"/>
      <c r="BD526" s="16"/>
      <c r="BE526" s="16"/>
      <c r="BF526" s="16"/>
      <c r="BG526" s="16"/>
      <c r="BH526" s="16"/>
    </row>
    <row r="527" spans="6:60" s="22" customFormat="1">
      <c r="F527" s="9"/>
      <c r="J527" s="9"/>
      <c r="K527" s="9"/>
      <c r="L527" s="9"/>
      <c r="N527" s="9"/>
      <c r="O527" s="9"/>
      <c r="P527" s="9"/>
      <c r="Q527" s="9"/>
      <c r="R527" s="9"/>
      <c r="S527" s="12"/>
      <c r="T527" s="9"/>
      <c r="U527" s="9"/>
      <c r="V527" s="12"/>
      <c r="W527" s="12"/>
      <c r="X527" s="12"/>
      <c r="Y527" s="15"/>
      <c r="Z527" s="15"/>
      <c r="AA527" s="15"/>
      <c r="AB527" s="15"/>
      <c r="AC527" s="15"/>
      <c r="AD527" s="15"/>
      <c r="AE527" s="15"/>
      <c r="AF527" s="16"/>
      <c r="AG527" s="16"/>
      <c r="AH527" s="16"/>
      <c r="AI527" s="16"/>
      <c r="AJ527" s="16"/>
      <c r="AK527" s="16"/>
      <c r="AL527" s="16"/>
      <c r="AM527" s="16"/>
      <c r="AN527" s="16"/>
      <c r="AO527" s="16"/>
      <c r="AP527" s="16"/>
      <c r="AQ527" s="16"/>
      <c r="AR527" s="16"/>
      <c r="AS527" s="16"/>
      <c r="AT527" s="16"/>
      <c r="AU527" s="16"/>
      <c r="AV527" s="16"/>
      <c r="AW527" s="16"/>
      <c r="AX527" s="16"/>
      <c r="AY527" s="16"/>
      <c r="AZ527" s="16"/>
      <c r="BA527" s="16"/>
      <c r="BB527" s="16"/>
      <c r="BC527" s="16"/>
      <c r="BD527" s="16"/>
      <c r="BE527" s="16"/>
      <c r="BF527" s="16"/>
      <c r="BG527" s="16"/>
      <c r="BH527" s="16"/>
    </row>
    <row r="528" spans="6:60" s="22" customFormat="1">
      <c r="F528" s="9"/>
      <c r="J528" s="9"/>
      <c r="K528" s="9"/>
      <c r="L528" s="9"/>
      <c r="N528" s="9"/>
      <c r="O528" s="9"/>
      <c r="P528" s="9"/>
      <c r="Q528" s="9"/>
      <c r="R528" s="9"/>
      <c r="S528" s="12"/>
      <c r="T528" s="9"/>
      <c r="U528" s="9"/>
      <c r="V528" s="12"/>
      <c r="W528" s="12"/>
      <c r="X528" s="12"/>
      <c r="Y528" s="15"/>
      <c r="Z528" s="15"/>
      <c r="AA528" s="15"/>
      <c r="AB528" s="15"/>
      <c r="AC528" s="15"/>
      <c r="AD528" s="15"/>
      <c r="AE528" s="15"/>
      <c r="AF528" s="16"/>
      <c r="AG528" s="16"/>
      <c r="AH528" s="16"/>
      <c r="AI528" s="16"/>
      <c r="AJ528" s="16"/>
      <c r="AK528" s="16"/>
      <c r="AL528" s="16"/>
      <c r="AM528" s="16"/>
      <c r="AN528" s="16"/>
      <c r="AO528" s="16"/>
      <c r="AP528" s="16"/>
      <c r="AQ528" s="16"/>
      <c r="AR528" s="16"/>
      <c r="AS528" s="16"/>
      <c r="AT528" s="16"/>
      <c r="AU528" s="16"/>
      <c r="AV528" s="16"/>
      <c r="AW528" s="16"/>
      <c r="AX528" s="16"/>
      <c r="AY528" s="16"/>
      <c r="AZ528" s="16"/>
      <c r="BA528" s="16"/>
      <c r="BB528" s="16"/>
      <c r="BC528" s="16"/>
      <c r="BD528" s="16"/>
      <c r="BE528" s="16"/>
      <c r="BF528" s="16"/>
      <c r="BG528" s="16"/>
      <c r="BH528" s="16"/>
    </row>
    <row r="529" spans="6:60" s="22" customFormat="1">
      <c r="F529" s="9"/>
      <c r="J529" s="9"/>
      <c r="K529" s="9"/>
      <c r="L529" s="9"/>
      <c r="N529" s="9"/>
      <c r="O529" s="9"/>
      <c r="P529" s="9"/>
      <c r="Q529" s="9"/>
      <c r="R529" s="9"/>
      <c r="S529" s="12"/>
      <c r="T529" s="9"/>
      <c r="U529" s="9"/>
      <c r="V529" s="12"/>
      <c r="W529" s="12"/>
      <c r="X529" s="12"/>
      <c r="Y529" s="15"/>
      <c r="Z529" s="15"/>
      <c r="AA529" s="15"/>
      <c r="AB529" s="15"/>
      <c r="AC529" s="15"/>
      <c r="AD529" s="15"/>
      <c r="AE529" s="15"/>
      <c r="AF529" s="16"/>
      <c r="AG529" s="16"/>
      <c r="AH529" s="16"/>
      <c r="AI529" s="16"/>
      <c r="AJ529" s="16"/>
      <c r="AK529" s="16"/>
      <c r="AL529" s="16"/>
      <c r="AM529" s="16"/>
      <c r="AN529" s="16"/>
      <c r="AO529" s="16"/>
      <c r="AP529" s="16"/>
      <c r="AQ529" s="16"/>
      <c r="AR529" s="16"/>
      <c r="AS529" s="16"/>
      <c r="AT529" s="16"/>
      <c r="AU529" s="16"/>
      <c r="AV529" s="16"/>
      <c r="AW529" s="16"/>
      <c r="AX529" s="16"/>
      <c r="AY529" s="16"/>
      <c r="AZ529" s="16"/>
      <c r="BA529" s="16"/>
      <c r="BB529" s="16"/>
      <c r="BC529" s="16"/>
      <c r="BD529" s="16"/>
      <c r="BE529" s="16"/>
      <c r="BF529" s="16"/>
      <c r="BG529" s="16"/>
      <c r="BH529" s="16"/>
    </row>
    <row r="530" spans="6:60" s="22" customFormat="1">
      <c r="F530" s="9"/>
      <c r="J530" s="9"/>
      <c r="K530" s="9"/>
      <c r="L530" s="9"/>
      <c r="N530" s="9"/>
      <c r="O530" s="9"/>
      <c r="P530" s="9"/>
      <c r="Q530" s="9"/>
      <c r="R530" s="9"/>
      <c r="S530" s="12"/>
      <c r="T530" s="9"/>
      <c r="U530" s="9"/>
      <c r="V530" s="12"/>
      <c r="W530" s="12"/>
      <c r="X530" s="12"/>
      <c r="Y530" s="15"/>
      <c r="Z530" s="15"/>
      <c r="AA530" s="15"/>
      <c r="AB530" s="15"/>
      <c r="AC530" s="15"/>
      <c r="AD530" s="15"/>
      <c r="AE530" s="15"/>
      <c r="AF530" s="16"/>
      <c r="AG530" s="16"/>
      <c r="AH530" s="16"/>
      <c r="AI530" s="16"/>
      <c r="AJ530" s="16"/>
      <c r="AK530" s="16"/>
      <c r="AL530" s="16"/>
      <c r="AM530" s="16"/>
      <c r="AN530" s="16"/>
      <c r="AO530" s="16"/>
      <c r="AP530" s="16"/>
      <c r="AQ530" s="16"/>
      <c r="AR530" s="16"/>
      <c r="AS530" s="16"/>
      <c r="AT530" s="16"/>
      <c r="AU530" s="16"/>
      <c r="AV530" s="16"/>
      <c r="AW530" s="16"/>
      <c r="AX530" s="16"/>
      <c r="AY530" s="16"/>
      <c r="AZ530" s="16"/>
      <c r="BA530" s="16"/>
      <c r="BB530" s="16"/>
      <c r="BC530" s="16"/>
      <c r="BD530" s="16"/>
      <c r="BE530" s="16"/>
      <c r="BF530" s="16"/>
      <c r="BG530" s="16"/>
      <c r="BH530" s="16"/>
    </row>
    <row r="531" spans="6:60" s="22" customFormat="1">
      <c r="F531" s="9"/>
      <c r="J531" s="9"/>
      <c r="K531" s="9"/>
      <c r="L531" s="9"/>
      <c r="N531" s="9"/>
      <c r="O531" s="9"/>
      <c r="P531" s="9"/>
      <c r="Q531" s="9"/>
      <c r="R531" s="9"/>
      <c r="S531" s="12"/>
      <c r="T531" s="9"/>
      <c r="U531" s="9"/>
      <c r="V531" s="12"/>
      <c r="W531" s="12"/>
      <c r="X531" s="12"/>
      <c r="Y531" s="15"/>
      <c r="Z531" s="15"/>
      <c r="AA531" s="15"/>
      <c r="AB531" s="15"/>
      <c r="AC531" s="15"/>
      <c r="AD531" s="15"/>
      <c r="AE531" s="15"/>
      <c r="AF531" s="16"/>
      <c r="AG531" s="16"/>
      <c r="AH531" s="16"/>
      <c r="AI531" s="16"/>
      <c r="AJ531" s="16"/>
      <c r="AK531" s="16"/>
      <c r="AL531" s="16"/>
      <c r="AM531" s="16"/>
      <c r="AN531" s="16"/>
      <c r="AO531" s="16"/>
      <c r="AP531" s="16"/>
      <c r="AQ531" s="16"/>
      <c r="AR531" s="16"/>
      <c r="AS531" s="16"/>
      <c r="AT531" s="16"/>
      <c r="AU531" s="16"/>
      <c r="AV531" s="16"/>
      <c r="AW531" s="16"/>
      <c r="AX531" s="16"/>
      <c r="AY531" s="16"/>
      <c r="AZ531" s="16"/>
      <c r="BA531" s="16"/>
      <c r="BB531" s="16"/>
      <c r="BC531" s="16"/>
      <c r="BD531" s="16"/>
      <c r="BE531" s="16"/>
      <c r="BF531" s="16"/>
      <c r="BG531" s="16"/>
      <c r="BH531" s="16"/>
    </row>
    <row r="532" spans="6:60" s="22" customFormat="1">
      <c r="F532" s="9"/>
      <c r="J532" s="9"/>
      <c r="K532" s="9"/>
      <c r="L532" s="9"/>
      <c r="N532" s="9"/>
      <c r="O532" s="9"/>
      <c r="P532" s="9"/>
      <c r="Q532" s="9"/>
      <c r="R532" s="9"/>
      <c r="S532" s="12"/>
      <c r="T532" s="9"/>
      <c r="U532" s="9"/>
      <c r="V532" s="12"/>
      <c r="W532" s="12"/>
      <c r="X532" s="12"/>
      <c r="Y532" s="15"/>
      <c r="Z532" s="15"/>
      <c r="AA532" s="15"/>
      <c r="AB532" s="15"/>
      <c r="AC532" s="15"/>
      <c r="AD532" s="15"/>
      <c r="AE532" s="15"/>
      <c r="AF532" s="16"/>
      <c r="AG532" s="16"/>
      <c r="AH532" s="16"/>
      <c r="AI532" s="16"/>
      <c r="AJ532" s="16"/>
      <c r="AK532" s="16"/>
      <c r="AL532" s="16"/>
      <c r="AM532" s="16"/>
      <c r="AN532" s="16"/>
      <c r="AO532" s="16"/>
      <c r="AP532" s="16"/>
      <c r="AQ532" s="16"/>
      <c r="AR532" s="16"/>
      <c r="AS532" s="16"/>
      <c r="AT532" s="16"/>
      <c r="AU532" s="16"/>
      <c r="AV532" s="16"/>
      <c r="AW532" s="16"/>
      <c r="AX532" s="16"/>
      <c r="AY532" s="16"/>
      <c r="AZ532" s="16"/>
      <c r="BA532" s="16"/>
      <c r="BB532" s="16"/>
      <c r="BC532" s="16"/>
      <c r="BD532" s="16"/>
      <c r="BE532" s="16"/>
      <c r="BF532" s="16"/>
      <c r="BG532" s="16"/>
      <c r="BH532" s="16"/>
    </row>
    <row r="533" spans="6:60" s="22" customFormat="1">
      <c r="F533" s="9"/>
      <c r="J533" s="9"/>
      <c r="K533" s="9"/>
      <c r="L533" s="9"/>
      <c r="N533" s="9"/>
      <c r="O533" s="9"/>
      <c r="P533" s="9"/>
      <c r="Q533" s="9"/>
      <c r="R533" s="9"/>
      <c r="S533" s="12"/>
      <c r="T533" s="9"/>
      <c r="U533" s="9"/>
      <c r="V533" s="12"/>
      <c r="W533" s="12"/>
      <c r="X533" s="12"/>
      <c r="Y533" s="15"/>
      <c r="Z533" s="15"/>
      <c r="AA533" s="15"/>
      <c r="AB533" s="15"/>
      <c r="AC533" s="15"/>
      <c r="AD533" s="15"/>
      <c r="AE533" s="15"/>
      <c r="AF533" s="16"/>
      <c r="AG533" s="16"/>
      <c r="AH533" s="16"/>
      <c r="AI533" s="16"/>
      <c r="AJ533" s="16"/>
      <c r="AK533" s="16"/>
      <c r="AL533" s="16"/>
      <c r="AM533" s="16"/>
      <c r="AN533" s="16"/>
      <c r="AO533" s="16"/>
      <c r="AP533" s="16"/>
      <c r="AQ533" s="16"/>
      <c r="AR533" s="16"/>
      <c r="AS533" s="16"/>
      <c r="AT533" s="16"/>
      <c r="AU533" s="16"/>
      <c r="AV533" s="16"/>
      <c r="AW533" s="16"/>
      <c r="AX533" s="16"/>
      <c r="AY533" s="16"/>
      <c r="AZ533" s="16"/>
      <c r="BA533" s="16"/>
      <c r="BB533" s="16"/>
      <c r="BC533" s="16"/>
      <c r="BD533" s="16"/>
      <c r="BE533" s="16"/>
      <c r="BF533" s="16"/>
      <c r="BG533" s="16"/>
      <c r="BH533" s="16"/>
    </row>
    <row r="534" spans="6:60" s="22" customFormat="1">
      <c r="F534" s="9"/>
      <c r="J534" s="9"/>
      <c r="K534" s="9"/>
      <c r="L534" s="9"/>
      <c r="N534" s="9"/>
      <c r="O534" s="9"/>
      <c r="P534" s="9"/>
      <c r="Q534" s="9"/>
      <c r="R534" s="9"/>
      <c r="S534" s="12"/>
      <c r="T534" s="9"/>
      <c r="U534" s="9"/>
      <c r="V534" s="12"/>
      <c r="W534" s="12"/>
      <c r="X534" s="12"/>
      <c r="Y534" s="15"/>
      <c r="Z534" s="15"/>
      <c r="AA534" s="15"/>
      <c r="AB534" s="15"/>
      <c r="AC534" s="15"/>
      <c r="AD534" s="15"/>
      <c r="AE534" s="15"/>
      <c r="AF534" s="16"/>
      <c r="AG534" s="16"/>
      <c r="AH534" s="16"/>
      <c r="AI534" s="16"/>
      <c r="AJ534" s="16"/>
      <c r="AK534" s="16"/>
      <c r="AL534" s="16"/>
      <c r="AM534" s="16"/>
      <c r="AN534" s="16"/>
      <c r="AO534" s="16"/>
      <c r="AP534" s="16"/>
      <c r="AQ534" s="16"/>
      <c r="AR534" s="16"/>
      <c r="AS534" s="16"/>
      <c r="AT534" s="16"/>
      <c r="AU534" s="16"/>
      <c r="AV534" s="16"/>
      <c r="AW534" s="16"/>
      <c r="AX534" s="16"/>
      <c r="AY534" s="16"/>
      <c r="AZ534" s="16"/>
      <c r="BA534" s="16"/>
      <c r="BB534" s="16"/>
      <c r="BC534" s="16"/>
      <c r="BD534" s="16"/>
      <c r="BE534" s="16"/>
      <c r="BF534" s="16"/>
      <c r="BG534" s="16"/>
      <c r="BH534" s="16"/>
    </row>
    <row r="535" spans="6:60" s="22" customFormat="1">
      <c r="F535" s="9"/>
      <c r="J535" s="9"/>
      <c r="K535" s="9"/>
      <c r="L535" s="9"/>
      <c r="N535" s="9"/>
      <c r="O535" s="9"/>
      <c r="P535" s="9"/>
      <c r="Q535" s="9"/>
      <c r="R535" s="9"/>
      <c r="S535" s="12"/>
      <c r="T535" s="9"/>
      <c r="U535" s="9"/>
      <c r="V535" s="12"/>
      <c r="W535" s="12"/>
      <c r="X535" s="12"/>
      <c r="Y535" s="15"/>
      <c r="Z535" s="15"/>
      <c r="AA535" s="15"/>
      <c r="AB535" s="15"/>
      <c r="AC535" s="15"/>
      <c r="AD535" s="15"/>
      <c r="AE535" s="15"/>
      <c r="AF535" s="16"/>
      <c r="AG535" s="16"/>
      <c r="AH535" s="16"/>
      <c r="AI535" s="16"/>
      <c r="AJ535" s="16"/>
      <c r="AK535" s="16"/>
      <c r="AL535" s="16"/>
      <c r="AM535" s="16"/>
      <c r="AN535" s="16"/>
      <c r="AO535" s="16"/>
      <c r="AP535" s="16"/>
      <c r="AQ535" s="16"/>
      <c r="AR535" s="16"/>
      <c r="AS535" s="16"/>
      <c r="AT535" s="16"/>
      <c r="AU535" s="16"/>
      <c r="AV535" s="16"/>
      <c r="AW535" s="16"/>
      <c r="AX535" s="16"/>
      <c r="AY535" s="16"/>
      <c r="AZ535" s="16"/>
      <c r="BA535" s="16"/>
      <c r="BB535" s="16"/>
      <c r="BC535" s="16"/>
      <c r="BD535" s="16"/>
      <c r="BE535" s="16"/>
      <c r="BF535" s="16"/>
      <c r="BG535" s="16"/>
      <c r="BH535" s="16"/>
    </row>
    <row r="536" spans="6:60" s="22" customFormat="1">
      <c r="F536" s="9"/>
      <c r="J536" s="9"/>
      <c r="K536" s="9"/>
      <c r="L536" s="9"/>
      <c r="N536" s="9"/>
      <c r="O536" s="9"/>
      <c r="P536" s="9"/>
      <c r="Q536" s="9"/>
      <c r="R536" s="9"/>
      <c r="S536" s="12"/>
      <c r="T536" s="9"/>
      <c r="U536" s="9"/>
      <c r="V536" s="12"/>
      <c r="W536" s="12"/>
      <c r="X536" s="12"/>
      <c r="Y536" s="15"/>
      <c r="Z536" s="15"/>
      <c r="AA536" s="15"/>
      <c r="AB536" s="15"/>
      <c r="AC536" s="15"/>
      <c r="AD536" s="15"/>
      <c r="AE536" s="15"/>
      <c r="AF536" s="16"/>
      <c r="AG536" s="16"/>
      <c r="AH536" s="16"/>
      <c r="AI536" s="16"/>
      <c r="AJ536" s="16"/>
      <c r="AK536" s="16"/>
      <c r="AL536" s="16"/>
      <c r="AM536" s="16"/>
      <c r="AN536" s="16"/>
      <c r="AO536" s="16"/>
      <c r="AP536" s="16"/>
      <c r="AQ536" s="16"/>
      <c r="AR536" s="16"/>
      <c r="AS536" s="16"/>
      <c r="AT536" s="16"/>
      <c r="AU536" s="16"/>
      <c r="AV536" s="16"/>
      <c r="AW536" s="16"/>
      <c r="AX536" s="16"/>
      <c r="AY536" s="16"/>
      <c r="AZ536" s="16"/>
      <c r="BA536" s="16"/>
      <c r="BB536" s="16"/>
      <c r="BC536" s="16"/>
      <c r="BD536" s="16"/>
      <c r="BE536" s="16"/>
      <c r="BF536" s="16"/>
      <c r="BG536" s="16"/>
      <c r="BH536" s="16"/>
    </row>
    <row r="537" spans="6:60" s="22" customFormat="1">
      <c r="F537" s="9"/>
      <c r="J537" s="9"/>
      <c r="K537" s="9"/>
      <c r="L537" s="9"/>
      <c r="N537" s="9"/>
      <c r="O537" s="9"/>
      <c r="P537" s="9"/>
      <c r="Q537" s="9"/>
      <c r="R537" s="9"/>
      <c r="S537" s="12"/>
      <c r="T537" s="9"/>
      <c r="U537" s="9"/>
      <c r="V537" s="12"/>
      <c r="W537" s="12"/>
      <c r="X537" s="12"/>
      <c r="Y537" s="15"/>
      <c r="Z537" s="15"/>
      <c r="AA537" s="15"/>
      <c r="AB537" s="15"/>
      <c r="AC537" s="15"/>
      <c r="AD537" s="15"/>
      <c r="AE537" s="15"/>
      <c r="AF537" s="16"/>
      <c r="AG537" s="16"/>
      <c r="AH537" s="16"/>
      <c r="AI537" s="16"/>
      <c r="AJ537" s="16"/>
      <c r="AK537" s="16"/>
      <c r="AL537" s="16"/>
      <c r="AM537" s="16"/>
      <c r="AN537" s="16"/>
      <c r="AO537" s="16"/>
      <c r="AP537" s="16"/>
      <c r="AQ537" s="16"/>
      <c r="AR537" s="16"/>
      <c r="AS537" s="16"/>
      <c r="AT537" s="16"/>
      <c r="AU537" s="16"/>
      <c r="AV537" s="16"/>
      <c r="AW537" s="16"/>
      <c r="AX537" s="16"/>
      <c r="AY537" s="16"/>
      <c r="AZ537" s="16"/>
      <c r="BA537" s="16"/>
      <c r="BB537" s="16"/>
      <c r="BC537" s="16"/>
      <c r="BD537" s="16"/>
      <c r="BE537" s="16"/>
      <c r="BF537" s="16"/>
      <c r="BG537" s="16"/>
      <c r="BH537" s="16"/>
    </row>
    <row r="538" spans="6:60" s="22" customFormat="1">
      <c r="F538" s="9"/>
      <c r="J538" s="9"/>
      <c r="K538" s="9"/>
      <c r="L538" s="9"/>
      <c r="N538" s="9"/>
      <c r="O538" s="9"/>
      <c r="P538" s="9"/>
      <c r="Q538" s="9"/>
      <c r="R538" s="9"/>
      <c r="S538" s="12"/>
      <c r="T538" s="9"/>
      <c r="U538" s="9"/>
      <c r="V538" s="12"/>
      <c r="W538" s="12"/>
      <c r="X538" s="12"/>
      <c r="Y538" s="15"/>
      <c r="Z538" s="15"/>
      <c r="AA538" s="15"/>
      <c r="AB538" s="15"/>
      <c r="AC538" s="15"/>
      <c r="AD538" s="15"/>
      <c r="AE538" s="15"/>
      <c r="AF538" s="16"/>
      <c r="AG538" s="16"/>
      <c r="AH538" s="16"/>
      <c r="AI538" s="16"/>
      <c r="AJ538" s="16"/>
      <c r="AK538" s="16"/>
      <c r="AL538" s="16"/>
      <c r="AM538" s="16"/>
      <c r="AN538" s="16"/>
      <c r="AO538" s="16"/>
      <c r="AP538" s="16"/>
      <c r="AQ538" s="16"/>
      <c r="AR538" s="16"/>
      <c r="AS538" s="16"/>
      <c r="AT538" s="16"/>
      <c r="AU538" s="16"/>
      <c r="AV538" s="16"/>
      <c r="AW538" s="16"/>
      <c r="AX538" s="16"/>
      <c r="AY538" s="16"/>
      <c r="AZ538" s="16"/>
      <c r="BA538" s="16"/>
      <c r="BB538" s="16"/>
      <c r="BC538" s="16"/>
      <c r="BD538" s="16"/>
      <c r="BE538" s="16"/>
      <c r="BF538" s="16"/>
      <c r="BG538" s="16"/>
      <c r="BH538" s="16"/>
    </row>
    <row r="539" spans="6:60" s="22" customFormat="1">
      <c r="F539" s="9"/>
      <c r="J539" s="9"/>
      <c r="K539" s="9"/>
      <c r="L539" s="9"/>
      <c r="N539" s="9"/>
      <c r="O539" s="9"/>
      <c r="P539" s="9"/>
      <c r="Q539" s="9"/>
      <c r="R539" s="9"/>
      <c r="S539" s="12"/>
      <c r="T539" s="9"/>
      <c r="U539" s="9"/>
      <c r="V539" s="12"/>
      <c r="W539" s="12"/>
      <c r="X539" s="12"/>
      <c r="Y539" s="15"/>
      <c r="Z539" s="15"/>
      <c r="AA539" s="15"/>
      <c r="AB539" s="15"/>
      <c r="AC539" s="15"/>
      <c r="AD539" s="15"/>
      <c r="AE539" s="15"/>
      <c r="AF539" s="16"/>
      <c r="AG539" s="16"/>
      <c r="AH539" s="16"/>
      <c r="AI539" s="16"/>
      <c r="AJ539" s="16"/>
      <c r="AK539" s="16"/>
      <c r="AL539" s="16"/>
      <c r="AM539" s="16"/>
      <c r="AN539" s="16"/>
      <c r="AO539" s="16"/>
      <c r="AP539" s="16"/>
      <c r="AQ539" s="16"/>
      <c r="AR539" s="16"/>
      <c r="AS539" s="16"/>
      <c r="AT539" s="16"/>
      <c r="AU539" s="16"/>
      <c r="AV539" s="16"/>
      <c r="AW539" s="16"/>
      <c r="AX539" s="16"/>
      <c r="AY539" s="16"/>
      <c r="AZ539" s="16"/>
      <c r="BA539" s="16"/>
      <c r="BB539" s="16"/>
      <c r="BC539" s="16"/>
      <c r="BD539" s="16"/>
      <c r="BE539" s="16"/>
      <c r="BF539" s="16"/>
      <c r="BG539" s="16"/>
      <c r="BH539" s="16"/>
    </row>
    <row r="540" spans="6:60" s="22" customFormat="1">
      <c r="F540" s="9"/>
      <c r="J540" s="9"/>
      <c r="K540" s="9"/>
      <c r="L540" s="9"/>
      <c r="N540" s="9"/>
      <c r="O540" s="9"/>
      <c r="P540" s="9"/>
      <c r="Q540" s="9"/>
      <c r="R540" s="9"/>
      <c r="S540" s="12"/>
      <c r="T540" s="9"/>
      <c r="U540" s="9"/>
      <c r="V540" s="12"/>
      <c r="W540" s="12"/>
      <c r="X540" s="12"/>
      <c r="Y540" s="15"/>
      <c r="Z540" s="15"/>
      <c r="AA540" s="15"/>
      <c r="AB540" s="15"/>
      <c r="AC540" s="15"/>
      <c r="AD540" s="15"/>
      <c r="AE540" s="15"/>
      <c r="AF540" s="16"/>
      <c r="AG540" s="16"/>
      <c r="AH540" s="16"/>
      <c r="AI540" s="16"/>
      <c r="AJ540" s="16"/>
      <c r="AK540" s="16"/>
      <c r="AL540" s="16"/>
      <c r="AM540" s="16"/>
      <c r="AN540" s="16"/>
      <c r="AO540" s="16"/>
      <c r="AP540" s="16"/>
      <c r="AQ540" s="16"/>
      <c r="AR540" s="16"/>
      <c r="AS540" s="16"/>
      <c r="AT540" s="16"/>
      <c r="AU540" s="16"/>
      <c r="AV540" s="16"/>
      <c r="AW540" s="16"/>
      <c r="AX540" s="16"/>
      <c r="AY540" s="16"/>
      <c r="AZ540" s="16"/>
      <c r="BA540" s="16"/>
      <c r="BB540" s="16"/>
      <c r="BC540" s="16"/>
      <c r="BD540" s="16"/>
      <c r="BE540" s="16"/>
      <c r="BF540" s="16"/>
      <c r="BG540" s="16"/>
      <c r="BH540" s="16"/>
    </row>
    <row r="541" spans="6:60" s="22" customFormat="1">
      <c r="F541" s="9"/>
      <c r="J541" s="9"/>
      <c r="K541" s="9"/>
      <c r="L541" s="9"/>
      <c r="N541" s="9"/>
      <c r="O541" s="9"/>
      <c r="P541" s="9"/>
      <c r="Q541" s="9"/>
      <c r="R541" s="9"/>
      <c r="S541" s="12"/>
      <c r="T541" s="9"/>
      <c r="U541" s="9"/>
      <c r="V541" s="12"/>
      <c r="W541" s="12"/>
      <c r="X541" s="12"/>
      <c r="Y541" s="15"/>
      <c r="Z541" s="15"/>
      <c r="AA541" s="15"/>
      <c r="AB541" s="15"/>
      <c r="AC541" s="15"/>
      <c r="AD541" s="15"/>
      <c r="AE541" s="15"/>
      <c r="AF541" s="16"/>
      <c r="AG541" s="16"/>
      <c r="AH541" s="16"/>
      <c r="AI541" s="16"/>
      <c r="AJ541" s="16"/>
      <c r="AK541" s="16"/>
      <c r="AL541" s="16"/>
      <c r="AM541" s="16"/>
      <c r="AN541" s="16"/>
      <c r="AO541" s="16"/>
      <c r="AP541" s="16"/>
      <c r="AQ541" s="16"/>
      <c r="AR541" s="16"/>
      <c r="AS541" s="16"/>
      <c r="AT541" s="16"/>
      <c r="AU541" s="16"/>
      <c r="AV541" s="16"/>
      <c r="AW541" s="16"/>
      <c r="AX541" s="16"/>
      <c r="AY541" s="16"/>
      <c r="AZ541" s="16"/>
      <c r="BA541" s="16"/>
      <c r="BB541" s="16"/>
      <c r="BC541" s="16"/>
      <c r="BD541" s="16"/>
      <c r="BE541" s="16"/>
      <c r="BF541" s="16"/>
      <c r="BG541" s="16"/>
      <c r="BH541" s="16"/>
    </row>
    <row r="542" spans="6:60" s="22" customFormat="1">
      <c r="F542" s="9"/>
      <c r="J542" s="9"/>
      <c r="K542" s="9"/>
      <c r="L542" s="9"/>
      <c r="N542" s="9"/>
      <c r="O542" s="9"/>
      <c r="P542" s="9"/>
      <c r="Q542" s="9"/>
      <c r="R542" s="9"/>
      <c r="S542" s="12"/>
      <c r="T542" s="9"/>
      <c r="U542" s="9"/>
      <c r="V542" s="12"/>
      <c r="W542" s="12"/>
      <c r="X542" s="12"/>
      <c r="Y542" s="15"/>
      <c r="Z542" s="15"/>
      <c r="AA542" s="15"/>
      <c r="AB542" s="15"/>
      <c r="AC542" s="15"/>
      <c r="AD542" s="15"/>
      <c r="AE542" s="15"/>
      <c r="AF542" s="16"/>
      <c r="AG542" s="16"/>
      <c r="AH542" s="16"/>
      <c r="AI542" s="16"/>
      <c r="AJ542" s="16"/>
      <c r="AK542" s="16"/>
      <c r="AL542" s="16"/>
      <c r="AM542" s="16"/>
      <c r="AN542" s="16"/>
      <c r="AO542" s="16"/>
      <c r="AP542" s="16"/>
      <c r="AQ542" s="16"/>
      <c r="AR542" s="16"/>
      <c r="AS542" s="16"/>
      <c r="AT542" s="16"/>
      <c r="AU542" s="16"/>
      <c r="AV542" s="16"/>
      <c r="AW542" s="16"/>
      <c r="AX542" s="16"/>
      <c r="AY542" s="16"/>
      <c r="AZ542" s="16"/>
      <c r="BA542" s="16"/>
      <c r="BB542" s="16"/>
      <c r="BC542" s="16"/>
      <c r="BD542" s="16"/>
      <c r="BE542" s="16"/>
      <c r="BF542" s="16"/>
      <c r="BG542" s="16"/>
      <c r="BH542" s="16"/>
    </row>
    <row r="543" spans="6:60" s="22" customFormat="1">
      <c r="F543" s="9"/>
      <c r="J543" s="9"/>
      <c r="K543" s="9"/>
      <c r="L543" s="9"/>
      <c r="N543" s="9"/>
      <c r="O543" s="9"/>
      <c r="P543" s="9"/>
      <c r="Q543" s="9"/>
      <c r="R543" s="9"/>
      <c r="S543" s="12"/>
      <c r="T543" s="9"/>
      <c r="U543" s="9"/>
      <c r="V543" s="12"/>
      <c r="W543" s="12"/>
      <c r="X543" s="12"/>
      <c r="Y543" s="15"/>
      <c r="Z543" s="15"/>
      <c r="AA543" s="15"/>
      <c r="AB543" s="15"/>
      <c r="AC543" s="15"/>
      <c r="AD543" s="15"/>
      <c r="AE543" s="15"/>
      <c r="AF543" s="16"/>
      <c r="AG543" s="16"/>
      <c r="AH543" s="16"/>
      <c r="AI543" s="16"/>
      <c r="AJ543" s="16"/>
      <c r="AK543" s="16"/>
      <c r="AL543" s="16"/>
      <c r="AM543" s="16"/>
      <c r="AN543" s="16"/>
      <c r="AO543" s="16"/>
      <c r="AP543" s="16"/>
      <c r="AQ543" s="16"/>
      <c r="AR543" s="16"/>
      <c r="AS543" s="16"/>
      <c r="AT543" s="16"/>
      <c r="AU543" s="16"/>
      <c r="AV543" s="16"/>
      <c r="AW543" s="16"/>
      <c r="AX543" s="16"/>
      <c r="AY543" s="16"/>
      <c r="AZ543" s="16"/>
      <c r="BA543" s="16"/>
      <c r="BB543" s="16"/>
      <c r="BC543" s="16"/>
      <c r="BD543" s="16"/>
      <c r="BE543" s="16"/>
      <c r="BF543" s="16"/>
      <c r="BG543" s="16"/>
      <c r="BH543" s="16"/>
    </row>
    <row r="544" spans="6:60" s="22" customFormat="1">
      <c r="F544" s="9"/>
      <c r="J544" s="9"/>
      <c r="K544" s="9"/>
      <c r="L544" s="9"/>
      <c r="N544" s="9"/>
      <c r="O544" s="9"/>
      <c r="P544" s="9"/>
      <c r="Q544" s="9"/>
      <c r="R544" s="9"/>
      <c r="S544" s="12"/>
      <c r="T544" s="9"/>
      <c r="U544" s="9"/>
      <c r="V544" s="12"/>
      <c r="W544" s="12"/>
      <c r="X544" s="12"/>
      <c r="Y544" s="15"/>
      <c r="Z544" s="15"/>
      <c r="AA544" s="15"/>
      <c r="AB544" s="15"/>
      <c r="AC544" s="15"/>
      <c r="AD544" s="15"/>
      <c r="AE544" s="15"/>
      <c r="AF544" s="16"/>
      <c r="AG544" s="16"/>
      <c r="AH544" s="16"/>
      <c r="AI544" s="16"/>
      <c r="AJ544" s="16"/>
      <c r="AK544" s="16"/>
      <c r="AL544" s="16"/>
      <c r="AM544" s="16"/>
      <c r="AN544" s="16"/>
      <c r="AO544" s="16"/>
      <c r="AP544" s="16"/>
      <c r="AQ544" s="16"/>
      <c r="AR544" s="16"/>
      <c r="AS544" s="16"/>
      <c r="AT544" s="16"/>
      <c r="AU544" s="16"/>
      <c r="AV544" s="16"/>
      <c r="AW544" s="16"/>
      <c r="AX544" s="16"/>
      <c r="AY544" s="16"/>
      <c r="AZ544" s="16"/>
      <c r="BA544" s="16"/>
      <c r="BB544" s="16"/>
      <c r="BC544" s="16"/>
      <c r="BD544" s="16"/>
      <c r="BE544" s="16"/>
      <c r="BF544" s="16"/>
      <c r="BG544" s="16"/>
      <c r="BH544" s="16"/>
    </row>
    <row r="545" spans="6:60" s="22" customFormat="1">
      <c r="F545" s="9"/>
      <c r="J545" s="9"/>
      <c r="K545" s="9"/>
      <c r="L545" s="9"/>
      <c r="N545" s="9"/>
      <c r="O545" s="9"/>
      <c r="P545" s="9"/>
      <c r="Q545" s="9"/>
      <c r="R545" s="9"/>
      <c r="S545" s="12"/>
      <c r="T545" s="9"/>
      <c r="U545" s="9"/>
      <c r="V545" s="12"/>
      <c r="W545" s="12"/>
      <c r="X545" s="12"/>
      <c r="Y545" s="15"/>
      <c r="Z545" s="15"/>
      <c r="AA545" s="15"/>
      <c r="AB545" s="15"/>
      <c r="AC545" s="15"/>
      <c r="AD545" s="15"/>
      <c r="AE545" s="15"/>
      <c r="AF545" s="16"/>
      <c r="AG545" s="16"/>
      <c r="AH545" s="16"/>
      <c r="AI545" s="16"/>
      <c r="AJ545" s="16"/>
      <c r="AK545" s="16"/>
      <c r="AL545" s="16"/>
      <c r="AM545" s="16"/>
      <c r="AN545" s="16"/>
      <c r="AO545" s="16"/>
      <c r="AP545" s="16"/>
      <c r="AQ545" s="16"/>
      <c r="AR545" s="16"/>
      <c r="AS545" s="16"/>
      <c r="AT545" s="16"/>
      <c r="AU545" s="16"/>
      <c r="AV545" s="16"/>
      <c r="AW545" s="16"/>
      <c r="AX545" s="16"/>
      <c r="AY545" s="16"/>
      <c r="AZ545" s="16"/>
      <c r="BA545" s="16"/>
      <c r="BB545" s="16"/>
      <c r="BC545" s="16"/>
      <c r="BD545" s="16"/>
      <c r="BE545" s="16"/>
      <c r="BF545" s="16"/>
      <c r="BG545" s="16"/>
      <c r="BH545" s="16"/>
    </row>
    <row r="546" spans="6:60" s="22" customFormat="1">
      <c r="F546" s="9"/>
      <c r="J546" s="9"/>
      <c r="K546" s="9"/>
      <c r="L546" s="9"/>
      <c r="N546" s="9"/>
      <c r="O546" s="9"/>
      <c r="P546" s="9"/>
      <c r="Q546" s="9"/>
      <c r="R546" s="9"/>
      <c r="S546" s="12"/>
      <c r="T546" s="9"/>
      <c r="U546" s="9"/>
      <c r="V546" s="12"/>
      <c r="W546" s="12"/>
      <c r="X546" s="12"/>
      <c r="Y546" s="15"/>
      <c r="Z546" s="15"/>
      <c r="AA546" s="15"/>
      <c r="AB546" s="15"/>
      <c r="AC546" s="15"/>
      <c r="AD546" s="15"/>
      <c r="AE546" s="15"/>
      <c r="AF546" s="16"/>
      <c r="AG546" s="16"/>
      <c r="AH546" s="16"/>
      <c r="AI546" s="16"/>
      <c r="AJ546" s="16"/>
      <c r="AK546" s="16"/>
      <c r="AL546" s="16"/>
      <c r="AM546" s="16"/>
      <c r="AN546" s="16"/>
      <c r="AO546" s="16"/>
      <c r="AP546" s="16"/>
      <c r="AQ546" s="16"/>
      <c r="AR546" s="16"/>
      <c r="AS546" s="16"/>
      <c r="AT546" s="16"/>
      <c r="AU546" s="16"/>
      <c r="AV546" s="16"/>
      <c r="AW546" s="16"/>
      <c r="AX546" s="16"/>
      <c r="AY546" s="16"/>
      <c r="AZ546" s="16"/>
      <c r="BA546" s="16"/>
      <c r="BB546" s="16"/>
      <c r="BC546" s="16"/>
      <c r="BD546" s="16"/>
      <c r="BE546" s="16"/>
      <c r="BF546" s="16"/>
      <c r="BG546" s="16"/>
      <c r="BH546" s="16"/>
    </row>
    <row r="547" spans="6:60" s="22" customFormat="1">
      <c r="F547" s="9"/>
      <c r="J547" s="9"/>
      <c r="K547" s="9"/>
      <c r="L547" s="9"/>
      <c r="N547" s="9"/>
      <c r="O547" s="9"/>
      <c r="P547" s="9"/>
      <c r="Q547" s="9"/>
      <c r="R547" s="9"/>
      <c r="S547" s="12"/>
      <c r="T547" s="9"/>
      <c r="U547" s="9"/>
      <c r="V547" s="12"/>
      <c r="W547" s="12"/>
      <c r="X547" s="12"/>
      <c r="Y547" s="15"/>
      <c r="Z547" s="15"/>
      <c r="AA547" s="15"/>
      <c r="AB547" s="15"/>
      <c r="AC547" s="15"/>
      <c r="AD547" s="15"/>
      <c r="AE547" s="15"/>
      <c r="AF547" s="16"/>
      <c r="AG547" s="16"/>
      <c r="AH547" s="16"/>
      <c r="AI547" s="16"/>
      <c r="AJ547" s="16"/>
      <c r="AK547" s="16"/>
      <c r="AL547" s="16"/>
      <c r="AM547" s="16"/>
      <c r="AN547" s="16"/>
      <c r="AO547" s="16"/>
      <c r="AP547" s="16"/>
      <c r="AQ547" s="16"/>
      <c r="AR547" s="16"/>
      <c r="AS547" s="16"/>
      <c r="AT547" s="16"/>
      <c r="AU547" s="16"/>
      <c r="AV547" s="16"/>
      <c r="AW547" s="16"/>
      <c r="AX547" s="16"/>
      <c r="AY547" s="16"/>
      <c r="AZ547" s="16"/>
      <c r="BA547" s="16"/>
      <c r="BB547" s="16"/>
      <c r="BC547" s="16"/>
      <c r="BD547" s="16"/>
      <c r="BE547" s="16"/>
      <c r="BF547" s="16"/>
      <c r="BG547" s="16"/>
      <c r="BH547" s="16"/>
    </row>
    <row r="548" spans="6:60" s="22" customFormat="1">
      <c r="F548" s="9"/>
      <c r="J548" s="9"/>
      <c r="K548" s="9"/>
      <c r="L548" s="9"/>
      <c r="N548" s="9"/>
      <c r="O548" s="9"/>
      <c r="P548" s="9"/>
      <c r="Q548" s="9"/>
      <c r="R548" s="9"/>
      <c r="S548" s="12"/>
      <c r="T548" s="9"/>
      <c r="U548" s="9"/>
      <c r="V548" s="12"/>
      <c r="W548" s="12"/>
      <c r="X548" s="12"/>
      <c r="Y548" s="15"/>
      <c r="Z548" s="15"/>
      <c r="AA548" s="15"/>
      <c r="AB548" s="15"/>
      <c r="AC548" s="15"/>
      <c r="AD548" s="15"/>
      <c r="AE548" s="15"/>
      <c r="AF548" s="16"/>
      <c r="AG548" s="16"/>
      <c r="AH548" s="16"/>
      <c r="AI548" s="16"/>
      <c r="AJ548" s="16"/>
      <c r="AK548" s="16"/>
      <c r="AL548" s="16"/>
      <c r="AM548" s="16"/>
      <c r="AN548" s="16"/>
      <c r="AO548" s="16"/>
      <c r="AP548" s="16"/>
      <c r="AQ548" s="16"/>
      <c r="AR548" s="16"/>
      <c r="AS548" s="16"/>
      <c r="AT548" s="16"/>
      <c r="AU548" s="16"/>
      <c r="AV548" s="16"/>
      <c r="AW548" s="16"/>
      <c r="AX548" s="16"/>
      <c r="AY548" s="16"/>
      <c r="AZ548" s="16"/>
      <c r="BA548" s="16"/>
      <c r="BB548" s="16"/>
      <c r="BC548" s="16"/>
      <c r="BD548" s="16"/>
      <c r="BE548" s="16"/>
      <c r="BF548" s="16"/>
      <c r="BG548" s="16"/>
      <c r="BH548" s="16"/>
    </row>
    <row r="549" spans="6:60" s="22" customFormat="1">
      <c r="F549" s="9"/>
      <c r="J549" s="9"/>
      <c r="K549" s="9"/>
      <c r="L549" s="9"/>
      <c r="N549" s="9"/>
      <c r="O549" s="9"/>
      <c r="P549" s="9"/>
      <c r="Q549" s="9"/>
      <c r="R549" s="9"/>
      <c r="S549" s="12"/>
      <c r="T549" s="9"/>
      <c r="U549" s="9"/>
      <c r="V549" s="12"/>
      <c r="W549" s="12"/>
      <c r="X549" s="12"/>
      <c r="Y549" s="15"/>
      <c r="Z549" s="15"/>
      <c r="AA549" s="15"/>
      <c r="AB549" s="15"/>
      <c r="AC549" s="15"/>
      <c r="AD549" s="15"/>
      <c r="AE549" s="15"/>
      <c r="AF549" s="16"/>
      <c r="AG549" s="16"/>
      <c r="AH549" s="16"/>
      <c r="AI549" s="16"/>
      <c r="AJ549" s="16"/>
      <c r="AK549" s="16"/>
      <c r="AL549" s="16"/>
      <c r="AM549" s="16"/>
      <c r="AN549" s="16"/>
      <c r="AO549" s="16"/>
      <c r="AP549" s="16"/>
      <c r="AQ549" s="16"/>
      <c r="AR549" s="16"/>
      <c r="AS549" s="16"/>
      <c r="AT549" s="16"/>
      <c r="AU549" s="16"/>
      <c r="AV549" s="16"/>
      <c r="AW549" s="16"/>
      <c r="AX549" s="16"/>
      <c r="AY549" s="16"/>
      <c r="AZ549" s="16"/>
      <c r="BA549" s="16"/>
      <c r="BB549" s="16"/>
      <c r="BC549" s="16"/>
      <c r="BD549" s="16"/>
      <c r="BE549" s="16"/>
      <c r="BF549" s="16"/>
      <c r="BG549" s="16"/>
      <c r="BH549" s="16"/>
    </row>
    <row r="550" spans="6:60" s="22" customFormat="1">
      <c r="F550" s="9"/>
      <c r="J550" s="9"/>
      <c r="K550" s="9"/>
      <c r="L550" s="9"/>
      <c r="N550" s="9"/>
      <c r="O550" s="9"/>
      <c r="P550" s="9"/>
      <c r="Q550" s="9"/>
      <c r="R550" s="9"/>
      <c r="S550" s="12"/>
      <c r="T550" s="9"/>
      <c r="U550" s="9"/>
      <c r="V550" s="12"/>
      <c r="W550" s="12"/>
      <c r="X550" s="12"/>
      <c r="Y550" s="15"/>
      <c r="Z550" s="15"/>
      <c r="AA550" s="15"/>
      <c r="AB550" s="15"/>
      <c r="AC550" s="15"/>
      <c r="AD550" s="15"/>
      <c r="AE550" s="15"/>
      <c r="AF550" s="16"/>
      <c r="AG550" s="16"/>
      <c r="AH550" s="16"/>
      <c r="AI550" s="16"/>
      <c r="AJ550" s="16"/>
      <c r="AK550" s="16"/>
      <c r="AL550" s="16"/>
      <c r="AM550" s="16"/>
      <c r="AN550" s="16"/>
      <c r="AO550" s="16"/>
      <c r="AP550" s="16"/>
      <c r="AQ550" s="16"/>
      <c r="AR550" s="16"/>
      <c r="AS550" s="16"/>
      <c r="AT550" s="16"/>
      <c r="AU550" s="16"/>
      <c r="AV550" s="16"/>
      <c r="AW550" s="16"/>
      <c r="AX550" s="16"/>
      <c r="AY550" s="16"/>
      <c r="AZ550" s="16"/>
      <c r="BA550" s="16"/>
      <c r="BB550" s="16"/>
      <c r="BC550" s="16"/>
      <c r="BD550" s="16"/>
      <c r="BE550" s="16"/>
      <c r="BF550" s="16"/>
      <c r="BG550" s="16"/>
      <c r="BH550" s="16"/>
    </row>
    <row r="551" spans="6:60" s="22" customFormat="1">
      <c r="F551" s="9"/>
      <c r="J551" s="9"/>
      <c r="K551" s="9"/>
      <c r="L551" s="9"/>
      <c r="N551" s="9"/>
      <c r="O551" s="9"/>
      <c r="P551" s="9"/>
      <c r="Q551" s="9"/>
      <c r="R551" s="9"/>
      <c r="S551" s="12"/>
      <c r="T551" s="9"/>
      <c r="U551" s="9"/>
      <c r="V551" s="12"/>
      <c r="W551" s="12"/>
      <c r="X551" s="12"/>
      <c r="Y551" s="15"/>
      <c r="Z551" s="15"/>
      <c r="AA551" s="15"/>
      <c r="AB551" s="15"/>
      <c r="AC551" s="15"/>
      <c r="AD551" s="15"/>
      <c r="AE551" s="15"/>
      <c r="AF551" s="16"/>
      <c r="AG551" s="16"/>
      <c r="AH551" s="16"/>
      <c r="AI551" s="16"/>
      <c r="AJ551" s="16"/>
      <c r="AK551" s="16"/>
      <c r="AL551" s="16"/>
      <c r="AM551" s="16"/>
      <c r="AN551" s="16"/>
      <c r="AO551" s="16"/>
      <c r="AP551" s="16"/>
      <c r="AQ551" s="16"/>
      <c r="AR551" s="16"/>
      <c r="AS551" s="16"/>
      <c r="AT551" s="16"/>
      <c r="AU551" s="16"/>
      <c r="AV551" s="16"/>
      <c r="AW551" s="16"/>
      <c r="AX551" s="16"/>
      <c r="AY551" s="16"/>
      <c r="AZ551" s="16"/>
      <c r="BA551" s="16"/>
      <c r="BB551" s="16"/>
      <c r="BC551" s="16"/>
      <c r="BD551" s="16"/>
      <c r="BE551" s="16"/>
      <c r="BF551" s="16"/>
      <c r="BG551" s="16"/>
      <c r="BH551" s="16"/>
    </row>
    <row r="552" spans="6:60" s="22" customFormat="1">
      <c r="F552" s="9"/>
      <c r="J552" s="9"/>
      <c r="K552" s="9"/>
      <c r="L552" s="9"/>
      <c r="N552" s="9"/>
      <c r="O552" s="9"/>
      <c r="P552" s="9"/>
      <c r="Q552" s="9"/>
      <c r="R552" s="9"/>
      <c r="S552" s="12"/>
      <c r="T552" s="9"/>
      <c r="U552" s="9"/>
      <c r="V552" s="12"/>
      <c r="W552" s="12"/>
      <c r="X552" s="12"/>
      <c r="Y552" s="15"/>
      <c r="Z552" s="15"/>
      <c r="AA552" s="15"/>
      <c r="AB552" s="15"/>
      <c r="AC552" s="15"/>
      <c r="AD552" s="15"/>
      <c r="AE552" s="15"/>
      <c r="AF552" s="16"/>
      <c r="AG552" s="16"/>
      <c r="AH552" s="16"/>
      <c r="AI552" s="16"/>
      <c r="AJ552" s="16"/>
      <c r="AK552" s="16"/>
      <c r="AL552" s="16"/>
      <c r="AM552" s="16"/>
      <c r="AN552" s="16"/>
      <c r="AO552" s="16"/>
      <c r="AP552" s="16"/>
      <c r="AQ552" s="16"/>
      <c r="AR552" s="16"/>
      <c r="AS552" s="16"/>
      <c r="AT552" s="16"/>
      <c r="AU552" s="16"/>
      <c r="AV552" s="16"/>
      <c r="AW552" s="16"/>
      <c r="AX552" s="16"/>
      <c r="AY552" s="16"/>
      <c r="AZ552" s="16"/>
      <c r="BA552" s="16"/>
      <c r="BB552" s="16"/>
      <c r="BC552" s="16"/>
      <c r="BD552" s="16"/>
      <c r="BE552" s="16"/>
      <c r="BF552" s="16"/>
      <c r="BG552" s="16"/>
      <c r="BH552" s="16"/>
    </row>
    <row r="553" spans="6:60" s="22" customFormat="1">
      <c r="F553" s="9"/>
      <c r="J553" s="9"/>
      <c r="K553" s="9"/>
      <c r="L553" s="9"/>
      <c r="N553" s="9"/>
      <c r="O553" s="9"/>
      <c r="P553" s="9"/>
      <c r="Q553" s="9"/>
      <c r="R553" s="9"/>
      <c r="S553" s="12"/>
      <c r="T553" s="9"/>
      <c r="U553" s="9"/>
      <c r="V553" s="12"/>
      <c r="W553" s="12"/>
      <c r="X553" s="12"/>
      <c r="Y553" s="15"/>
      <c r="Z553" s="15"/>
      <c r="AA553" s="15"/>
      <c r="AB553" s="15"/>
      <c r="AC553" s="15"/>
      <c r="AD553" s="15"/>
      <c r="AE553" s="15"/>
      <c r="AF553" s="16"/>
      <c r="AG553" s="16"/>
      <c r="AH553" s="16"/>
      <c r="AI553" s="16"/>
      <c r="AJ553" s="16"/>
      <c r="AK553" s="16"/>
      <c r="AL553" s="16"/>
      <c r="AM553" s="16"/>
      <c r="AN553" s="16"/>
      <c r="AO553" s="16"/>
      <c r="AP553" s="16"/>
      <c r="AQ553" s="16"/>
      <c r="AR553" s="16"/>
      <c r="AS553" s="16"/>
      <c r="AT553" s="16"/>
      <c r="AU553" s="16"/>
      <c r="AV553" s="16"/>
      <c r="AW553" s="16"/>
      <c r="AX553" s="16"/>
      <c r="AY553" s="16"/>
      <c r="AZ553" s="16"/>
      <c r="BA553" s="16"/>
      <c r="BB553" s="16"/>
      <c r="BC553" s="16"/>
      <c r="BD553" s="16"/>
      <c r="BE553" s="16"/>
      <c r="BF553" s="16"/>
      <c r="BG553" s="16"/>
      <c r="BH553" s="16"/>
    </row>
    <row r="554" spans="6:60" s="22" customFormat="1">
      <c r="F554" s="9"/>
      <c r="J554" s="9"/>
      <c r="K554" s="9"/>
      <c r="L554" s="9"/>
      <c r="N554" s="9"/>
      <c r="O554" s="9"/>
      <c r="P554" s="9"/>
      <c r="Q554" s="9"/>
      <c r="R554" s="9"/>
      <c r="S554" s="12"/>
      <c r="T554" s="9"/>
      <c r="U554" s="9"/>
      <c r="V554" s="12"/>
      <c r="W554" s="12"/>
      <c r="X554" s="12"/>
      <c r="Y554" s="15"/>
      <c r="Z554" s="15"/>
      <c r="AA554" s="15"/>
      <c r="AB554" s="15"/>
      <c r="AC554" s="15"/>
      <c r="AD554" s="15"/>
      <c r="AE554" s="15"/>
      <c r="AF554" s="16"/>
      <c r="AG554" s="16"/>
      <c r="AH554" s="16"/>
      <c r="AI554" s="16"/>
      <c r="AJ554" s="16"/>
      <c r="AK554" s="16"/>
      <c r="AL554" s="16"/>
      <c r="AM554" s="16"/>
      <c r="AN554" s="16"/>
      <c r="AO554" s="16"/>
      <c r="AP554" s="16"/>
      <c r="AQ554" s="16"/>
      <c r="AR554" s="16"/>
      <c r="AS554" s="16"/>
      <c r="AT554" s="16"/>
      <c r="AU554" s="16"/>
      <c r="AV554" s="16"/>
      <c r="AW554" s="16"/>
      <c r="AX554" s="16"/>
      <c r="AY554" s="16"/>
      <c r="AZ554" s="16"/>
      <c r="BA554" s="16"/>
      <c r="BB554" s="16"/>
      <c r="BC554" s="16"/>
      <c r="BD554" s="16"/>
      <c r="BE554" s="16"/>
      <c r="BF554" s="16"/>
      <c r="BG554" s="16"/>
      <c r="BH554" s="16"/>
    </row>
    <row r="555" spans="6:60" s="22" customFormat="1">
      <c r="F555" s="9"/>
      <c r="J555" s="9"/>
      <c r="K555" s="9"/>
      <c r="L555" s="9"/>
      <c r="N555" s="9"/>
      <c r="O555" s="9"/>
      <c r="P555" s="9"/>
      <c r="Q555" s="9"/>
      <c r="R555" s="9"/>
      <c r="S555" s="12"/>
      <c r="T555" s="9"/>
      <c r="U555" s="9"/>
      <c r="V555" s="12"/>
      <c r="W555" s="12"/>
      <c r="X555" s="12"/>
      <c r="Y555" s="15"/>
      <c r="Z555" s="15"/>
      <c r="AA555" s="15"/>
      <c r="AB555" s="15"/>
      <c r="AC555" s="15"/>
      <c r="AD555" s="15"/>
      <c r="AE555" s="15"/>
      <c r="AF555" s="16"/>
      <c r="AG555" s="16"/>
      <c r="AH555" s="16"/>
      <c r="AI555" s="16"/>
      <c r="AJ555" s="16"/>
      <c r="AK555" s="16"/>
      <c r="AL555" s="16"/>
      <c r="AM555" s="16"/>
      <c r="AN555" s="16"/>
      <c r="AO555" s="16"/>
      <c r="AP555" s="16"/>
      <c r="AQ555" s="16"/>
      <c r="AR555" s="16"/>
      <c r="AS555" s="16"/>
      <c r="AT555" s="16"/>
      <c r="AU555" s="16"/>
      <c r="AV555" s="16"/>
      <c r="AW555" s="16"/>
      <c r="AX555" s="16"/>
      <c r="AY555" s="16"/>
      <c r="AZ555" s="16"/>
      <c r="BA555" s="16"/>
      <c r="BB555" s="16"/>
      <c r="BC555" s="16"/>
      <c r="BD555" s="16"/>
      <c r="BE555" s="16"/>
      <c r="BF555" s="16"/>
      <c r="BG555" s="16"/>
      <c r="BH555" s="16"/>
    </row>
    <row r="556" spans="6:60" s="22" customFormat="1">
      <c r="F556" s="9"/>
      <c r="J556" s="9"/>
      <c r="K556" s="9"/>
      <c r="L556" s="9"/>
      <c r="N556" s="9"/>
      <c r="O556" s="9"/>
      <c r="P556" s="9"/>
      <c r="Q556" s="9"/>
      <c r="R556" s="9"/>
      <c r="S556" s="12"/>
      <c r="T556" s="9"/>
      <c r="U556" s="9"/>
      <c r="V556" s="12"/>
      <c r="W556" s="12"/>
      <c r="X556" s="12"/>
      <c r="Y556" s="15"/>
      <c r="Z556" s="15"/>
      <c r="AA556" s="15"/>
      <c r="AB556" s="15"/>
      <c r="AC556" s="15"/>
      <c r="AD556" s="15"/>
      <c r="AE556" s="15"/>
      <c r="AF556" s="16"/>
      <c r="AG556" s="16"/>
      <c r="AH556" s="16"/>
      <c r="AI556" s="16"/>
      <c r="AJ556" s="16"/>
      <c r="AK556" s="16"/>
      <c r="AL556" s="16"/>
      <c r="AM556" s="16"/>
      <c r="AN556" s="16"/>
      <c r="AO556" s="16"/>
      <c r="AP556" s="16"/>
      <c r="AQ556" s="16"/>
      <c r="AR556" s="16"/>
      <c r="AS556" s="16"/>
      <c r="AT556" s="16"/>
      <c r="AU556" s="16"/>
      <c r="AV556" s="16"/>
      <c r="AW556" s="16"/>
      <c r="AX556" s="16"/>
      <c r="AY556" s="16"/>
      <c r="AZ556" s="16"/>
      <c r="BA556" s="16"/>
      <c r="BB556" s="16"/>
      <c r="BC556" s="16"/>
      <c r="BD556" s="16"/>
      <c r="BE556" s="16"/>
      <c r="BF556" s="16"/>
      <c r="BG556" s="16"/>
      <c r="BH556" s="16"/>
    </row>
    <row r="557" spans="6:60" s="22" customFormat="1">
      <c r="F557" s="9"/>
      <c r="J557" s="9"/>
      <c r="K557" s="9"/>
      <c r="L557" s="9"/>
      <c r="N557" s="9"/>
      <c r="O557" s="9"/>
      <c r="P557" s="9"/>
      <c r="Q557" s="9"/>
      <c r="R557" s="9"/>
      <c r="S557" s="12"/>
      <c r="T557" s="9"/>
      <c r="U557" s="9"/>
      <c r="V557" s="12"/>
      <c r="W557" s="12"/>
      <c r="X557" s="12"/>
      <c r="Y557" s="15"/>
      <c r="Z557" s="15"/>
      <c r="AA557" s="15"/>
      <c r="AB557" s="15"/>
      <c r="AC557" s="15"/>
      <c r="AD557" s="15"/>
      <c r="AE557" s="15"/>
      <c r="AF557" s="16"/>
      <c r="AG557" s="16"/>
      <c r="AH557" s="16"/>
      <c r="AI557" s="16"/>
      <c r="AJ557" s="16"/>
      <c r="AK557" s="16"/>
      <c r="AL557" s="16"/>
      <c r="AM557" s="16"/>
      <c r="AN557" s="16"/>
      <c r="AO557" s="16"/>
      <c r="AP557" s="16"/>
      <c r="AQ557" s="16"/>
      <c r="AR557" s="16"/>
      <c r="AS557" s="16"/>
      <c r="AT557" s="16"/>
      <c r="AU557" s="16"/>
      <c r="AV557" s="16"/>
      <c r="AW557" s="16"/>
      <c r="AX557" s="16"/>
      <c r="AY557" s="16"/>
      <c r="AZ557" s="16"/>
      <c r="BA557" s="16"/>
      <c r="BB557" s="16"/>
      <c r="BC557" s="16"/>
      <c r="BD557" s="16"/>
      <c r="BE557" s="16"/>
      <c r="BF557" s="16"/>
      <c r="BG557" s="16"/>
      <c r="BH557" s="16"/>
    </row>
    <row r="558" spans="6:60" s="22" customFormat="1">
      <c r="F558" s="9"/>
      <c r="J558" s="9"/>
      <c r="K558" s="9"/>
      <c r="L558" s="9"/>
      <c r="N558" s="9"/>
      <c r="O558" s="9"/>
      <c r="P558" s="9"/>
      <c r="Q558" s="9"/>
      <c r="R558" s="9"/>
      <c r="S558" s="12"/>
      <c r="T558" s="9"/>
      <c r="U558" s="9"/>
      <c r="V558" s="12"/>
      <c r="W558" s="12"/>
      <c r="X558" s="12"/>
      <c r="Y558" s="15"/>
      <c r="Z558" s="15"/>
      <c r="AA558" s="15"/>
      <c r="AB558" s="15"/>
      <c r="AC558" s="15"/>
      <c r="AD558" s="15"/>
      <c r="AE558" s="15"/>
      <c r="AF558" s="16"/>
      <c r="AG558" s="16"/>
      <c r="AH558" s="16"/>
      <c r="AI558" s="16"/>
      <c r="AJ558" s="16"/>
      <c r="AK558" s="16"/>
      <c r="AL558" s="16"/>
      <c r="AM558" s="16"/>
      <c r="AN558" s="16"/>
      <c r="AO558" s="16"/>
      <c r="AP558" s="16"/>
      <c r="AQ558" s="16"/>
      <c r="AR558" s="16"/>
      <c r="AS558" s="16"/>
      <c r="AT558" s="16"/>
      <c r="AU558" s="16"/>
      <c r="AV558" s="16"/>
      <c r="AW558" s="16"/>
      <c r="AX558" s="16"/>
      <c r="AY558" s="16"/>
      <c r="AZ558" s="16"/>
      <c r="BA558" s="16"/>
      <c r="BB558" s="16"/>
      <c r="BC558" s="16"/>
      <c r="BD558" s="16"/>
      <c r="BE558" s="16"/>
      <c r="BF558" s="16"/>
      <c r="BG558" s="16"/>
      <c r="BH558" s="16"/>
    </row>
    <row r="559" spans="6:60" s="22" customFormat="1">
      <c r="F559" s="9"/>
      <c r="J559" s="9"/>
      <c r="K559" s="9"/>
      <c r="L559" s="9"/>
      <c r="N559" s="9"/>
      <c r="O559" s="9"/>
      <c r="P559" s="9"/>
      <c r="Q559" s="9"/>
      <c r="R559" s="9"/>
      <c r="S559" s="12"/>
      <c r="T559" s="9"/>
      <c r="U559" s="9"/>
      <c r="V559" s="12"/>
      <c r="W559" s="12"/>
      <c r="X559" s="12"/>
      <c r="Y559" s="15"/>
      <c r="Z559" s="15"/>
      <c r="AA559" s="15"/>
      <c r="AB559" s="15"/>
      <c r="AC559" s="15"/>
      <c r="AD559" s="15"/>
      <c r="AE559" s="15"/>
      <c r="AF559" s="16"/>
      <c r="AG559" s="16"/>
      <c r="AH559" s="16"/>
      <c r="AI559" s="16"/>
      <c r="AJ559" s="16"/>
      <c r="AK559" s="16"/>
      <c r="AL559" s="16"/>
      <c r="AM559" s="16"/>
      <c r="AN559" s="16"/>
      <c r="AO559" s="16"/>
      <c r="AP559" s="16"/>
      <c r="AQ559" s="16"/>
      <c r="AR559" s="16"/>
      <c r="AS559" s="16"/>
      <c r="AT559" s="16"/>
      <c r="AU559" s="16"/>
      <c r="AV559" s="16"/>
      <c r="AW559" s="16"/>
      <c r="AX559" s="16"/>
      <c r="AY559" s="16"/>
      <c r="AZ559" s="16"/>
      <c r="BA559" s="16"/>
      <c r="BB559" s="16"/>
      <c r="BC559" s="16"/>
      <c r="BD559" s="16"/>
      <c r="BE559" s="16"/>
      <c r="BF559" s="16"/>
      <c r="BG559" s="16"/>
      <c r="BH559" s="16"/>
    </row>
    <row r="560" spans="6:60" s="22" customFormat="1">
      <c r="F560" s="9"/>
      <c r="J560" s="9"/>
      <c r="K560" s="9"/>
      <c r="L560" s="9"/>
      <c r="N560" s="9"/>
      <c r="O560" s="9"/>
      <c r="P560" s="9"/>
      <c r="Q560" s="9"/>
      <c r="R560" s="9"/>
      <c r="S560" s="12"/>
      <c r="T560" s="9"/>
      <c r="U560" s="9"/>
      <c r="V560" s="12"/>
      <c r="W560" s="12"/>
      <c r="X560" s="12"/>
      <c r="Y560" s="15"/>
      <c r="Z560" s="15"/>
      <c r="AA560" s="15"/>
      <c r="AB560" s="15"/>
      <c r="AC560" s="15"/>
      <c r="AD560" s="15"/>
      <c r="AE560" s="15"/>
      <c r="AF560" s="16"/>
      <c r="AG560" s="16"/>
      <c r="AH560" s="16"/>
      <c r="AI560" s="16"/>
      <c r="AJ560" s="16"/>
      <c r="AK560" s="16"/>
      <c r="AL560" s="16"/>
      <c r="AM560" s="16"/>
      <c r="AN560" s="16"/>
      <c r="AO560" s="16"/>
      <c r="AP560" s="16"/>
      <c r="AQ560" s="16"/>
      <c r="AR560" s="16"/>
      <c r="AS560" s="16"/>
      <c r="AT560" s="16"/>
      <c r="AU560" s="16"/>
      <c r="AV560" s="16"/>
      <c r="AW560" s="16"/>
      <c r="AX560" s="16"/>
      <c r="AY560" s="16"/>
      <c r="AZ560" s="16"/>
      <c r="BA560" s="16"/>
      <c r="BB560" s="16"/>
      <c r="BC560" s="16"/>
      <c r="BD560" s="16"/>
      <c r="BE560" s="16"/>
      <c r="BF560" s="16"/>
      <c r="BG560" s="16"/>
      <c r="BH560" s="16"/>
    </row>
    <row r="561" spans="6:60" s="22" customFormat="1">
      <c r="F561" s="9"/>
      <c r="J561" s="9"/>
      <c r="K561" s="9"/>
      <c r="L561" s="9"/>
      <c r="N561" s="9"/>
      <c r="O561" s="9"/>
      <c r="P561" s="9"/>
      <c r="Q561" s="9"/>
      <c r="R561" s="9"/>
      <c r="S561" s="12"/>
      <c r="T561" s="9"/>
      <c r="U561" s="9"/>
      <c r="V561" s="12"/>
      <c r="W561" s="12"/>
      <c r="X561" s="12"/>
      <c r="Y561" s="15"/>
      <c r="Z561" s="15"/>
      <c r="AA561" s="15"/>
      <c r="AB561" s="15"/>
      <c r="AC561" s="15"/>
      <c r="AD561" s="15"/>
      <c r="AE561" s="15"/>
      <c r="AF561" s="16"/>
      <c r="AG561" s="16"/>
      <c r="AH561" s="16"/>
      <c r="AI561" s="16"/>
      <c r="AJ561" s="16"/>
      <c r="AK561" s="16"/>
      <c r="AL561" s="16"/>
      <c r="AM561" s="16"/>
      <c r="AN561" s="16"/>
      <c r="AO561" s="16"/>
      <c r="AP561" s="16"/>
      <c r="AQ561" s="16"/>
      <c r="AR561" s="16"/>
      <c r="AS561" s="16"/>
      <c r="AT561" s="16"/>
      <c r="AU561" s="16"/>
      <c r="AV561" s="16"/>
      <c r="AW561" s="16"/>
      <c r="AX561" s="16"/>
      <c r="AY561" s="16"/>
      <c r="AZ561" s="16"/>
      <c r="BA561" s="16"/>
      <c r="BB561" s="16"/>
      <c r="BC561" s="16"/>
      <c r="BD561" s="16"/>
      <c r="BE561" s="16"/>
      <c r="BF561" s="16"/>
      <c r="BG561" s="16"/>
      <c r="BH561" s="16"/>
    </row>
    <row r="562" spans="6:60" s="22" customFormat="1">
      <c r="F562" s="9"/>
      <c r="J562" s="9"/>
      <c r="K562" s="9"/>
      <c r="L562" s="9"/>
      <c r="N562" s="9"/>
      <c r="O562" s="9"/>
      <c r="P562" s="9"/>
      <c r="Q562" s="9"/>
      <c r="R562" s="9"/>
      <c r="S562" s="12"/>
      <c r="T562" s="9"/>
      <c r="U562" s="9"/>
      <c r="V562" s="12"/>
      <c r="W562" s="12"/>
      <c r="X562" s="12"/>
      <c r="Y562" s="15"/>
      <c r="Z562" s="15"/>
      <c r="AA562" s="15"/>
      <c r="AB562" s="15"/>
      <c r="AC562" s="15"/>
      <c r="AD562" s="15"/>
      <c r="AE562" s="15"/>
      <c r="AF562" s="16"/>
      <c r="AG562" s="16"/>
      <c r="AH562" s="16"/>
      <c r="AI562" s="16"/>
      <c r="AJ562" s="16"/>
      <c r="AK562" s="16"/>
      <c r="AL562" s="16"/>
      <c r="AM562" s="16"/>
      <c r="AN562" s="16"/>
      <c r="AO562" s="16"/>
      <c r="AP562" s="16"/>
      <c r="AQ562" s="16"/>
      <c r="AR562" s="16"/>
      <c r="AS562" s="16"/>
      <c r="AT562" s="16"/>
      <c r="AU562" s="16"/>
      <c r="AV562" s="16"/>
      <c r="AW562" s="16"/>
      <c r="AX562" s="16"/>
      <c r="AY562" s="16"/>
      <c r="AZ562" s="16"/>
      <c r="BA562" s="16"/>
      <c r="BB562" s="16"/>
      <c r="BC562" s="16"/>
      <c r="BD562" s="16"/>
      <c r="BE562" s="16"/>
      <c r="BF562" s="16"/>
      <c r="BG562" s="16"/>
      <c r="BH562" s="16"/>
    </row>
    <row r="563" spans="6:60" s="22" customFormat="1">
      <c r="F563" s="9"/>
      <c r="J563" s="9"/>
      <c r="K563" s="9"/>
      <c r="L563" s="9"/>
      <c r="N563" s="9"/>
      <c r="O563" s="9"/>
      <c r="P563" s="9"/>
      <c r="Q563" s="9"/>
      <c r="R563" s="9"/>
      <c r="S563" s="12"/>
      <c r="T563" s="9"/>
      <c r="U563" s="9"/>
      <c r="V563" s="12"/>
      <c r="W563" s="12"/>
      <c r="X563" s="12"/>
      <c r="Y563" s="15"/>
      <c r="Z563" s="15"/>
      <c r="AA563" s="15"/>
      <c r="AB563" s="15"/>
      <c r="AC563" s="15"/>
      <c r="AD563" s="15"/>
      <c r="AE563" s="15"/>
      <c r="AF563" s="16"/>
      <c r="AG563" s="16"/>
      <c r="AH563" s="16"/>
      <c r="AI563" s="16"/>
      <c r="AJ563" s="16"/>
      <c r="AK563" s="16"/>
      <c r="AL563" s="16"/>
      <c r="AM563" s="16"/>
      <c r="AN563" s="16"/>
      <c r="AO563" s="16"/>
      <c r="AP563" s="16"/>
      <c r="AQ563" s="16"/>
      <c r="AR563" s="16"/>
      <c r="AS563" s="16"/>
      <c r="AT563" s="16"/>
      <c r="AU563" s="16"/>
      <c r="AV563" s="16"/>
      <c r="AW563" s="16"/>
      <c r="AX563" s="16"/>
      <c r="AY563" s="16"/>
      <c r="AZ563" s="16"/>
      <c r="BA563" s="16"/>
      <c r="BB563" s="16"/>
      <c r="BC563" s="16"/>
      <c r="BD563" s="16"/>
      <c r="BE563" s="16"/>
      <c r="BF563" s="16"/>
      <c r="BG563" s="16"/>
      <c r="BH563" s="16"/>
    </row>
    <row r="564" spans="6:60" s="22" customFormat="1">
      <c r="F564" s="9"/>
      <c r="J564" s="9"/>
      <c r="K564" s="9"/>
      <c r="L564" s="9"/>
      <c r="N564" s="9"/>
      <c r="O564" s="9"/>
      <c r="P564" s="9"/>
      <c r="Q564" s="9"/>
      <c r="R564" s="9"/>
      <c r="S564" s="12"/>
      <c r="T564" s="9"/>
      <c r="U564" s="9"/>
      <c r="V564" s="12"/>
      <c r="W564" s="12"/>
      <c r="X564" s="12"/>
      <c r="Y564" s="15"/>
      <c r="Z564" s="15"/>
      <c r="AA564" s="15"/>
      <c r="AB564" s="15"/>
      <c r="AC564" s="15"/>
      <c r="AD564" s="15"/>
      <c r="AE564" s="15"/>
      <c r="AF564" s="16"/>
      <c r="AG564" s="16"/>
      <c r="AH564" s="16"/>
      <c r="AI564" s="16"/>
      <c r="AJ564" s="16"/>
      <c r="AK564" s="16"/>
      <c r="AL564" s="16"/>
      <c r="AM564" s="16"/>
      <c r="AN564" s="16"/>
      <c r="AO564" s="16"/>
      <c r="AP564" s="16"/>
      <c r="AQ564" s="16"/>
      <c r="AR564" s="16"/>
      <c r="AS564" s="16"/>
      <c r="AT564" s="16"/>
      <c r="AU564" s="16"/>
      <c r="AV564" s="16"/>
      <c r="AW564" s="16"/>
      <c r="AX564" s="16"/>
      <c r="AY564" s="16"/>
      <c r="AZ564" s="16"/>
      <c r="BA564" s="16"/>
      <c r="BB564" s="16"/>
      <c r="BC564" s="16"/>
      <c r="BD564" s="16"/>
      <c r="BE564" s="16"/>
      <c r="BF564" s="16"/>
      <c r="BG564" s="16"/>
      <c r="BH564" s="16"/>
    </row>
    <row r="565" spans="6:60" s="22" customFormat="1">
      <c r="F565" s="9"/>
      <c r="J565" s="9"/>
      <c r="K565" s="9"/>
      <c r="L565" s="9"/>
      <c r="N565" s="9"/>
      <c r="O565" s="9"/>
      <c r="P565" s="9"/>
      <c r="Q565" s="9"/>
      <c r="R565" s="9"/>
      <c r="S565" s="12"/>
      <c r="T565" s="9"/>
      <c r="U565" s="9"/>
      <c r="V565" s="12"/>
      <c r="W565" s="12"/>
      <c r="X565" s="12"/>
      <c r="Y565" s="15"/>
      <c r="Z565" s="15"/>
      <c r="AA565" s="15"/>
      <c r="AB565" s="15"/>
      <c r="AC565" s="15"/>
      <c r="AD565" s="15"/>
      <c r="AE565" s="15"/>
      <c r="AF565" s="16"/>
      <c r="AG565" s="16"/>
      <c r="AH565" s="16"/>
      <c r="AI565" s="16"/>
      <c r="AJ565" s="16"/>
      <c r="AK565" s="16"/>
      <c r="AL565" s="16"/>
      <c r="AM565" s="16"/>
      <c r="AN565" s="16"/>
      <c r="AO565" s="16"/>
      <c r="AP565" s="16"/>
      <c r="AQ565" s="16"/>
      <c r="AR565" s="16"/>
      <c r="AS565" s="16"/>
      <c r="AT565" s="16"/>
      <c r="AU565" s="16"/>
      <c r="AV565" s="16"/>
      <c r="AW565" s="16"/>
      <c r="AX565" s="16"/>
      <c r="AY565" s="16"/>
      <c r="AZ565" s="16"/>
      <c r="BA565" s="16"/>
      <c r="BB565" s="16"/>
      <c r="BC565" s="16"/>
      <c r="BD565" s="16"/>
      <c r="BE565" s="16"/>
      <c r="BF565" s="16"/>
      <c r="BG565" s="16"/>
      <c r="BH565" s="16"/>
    </row>
    <row r="566" spans="6:60" s="22" customFormat="1">
      <c r="F566" s="9"/>
      <c r="J566" s="9"/>
      <c r="K566" s="9"/>
      <c r="L566" s="9"/>
      <c r="N566" s="9"/>
      <c r="O566" s="9"/>
      <c r="P566" s="9"/>
      <c r="Q566" s="9"/>
      <c r="R566" s="9"/>
      <c r="S566" s="12"/>
      <c r="T566" s="9"/>
      <c r="U566" s="9"/>
      <c r="V566" s="12"/>
      <c r="W566" s="12"/>
      <c r="X566" s="12"/>
      <c r="Y566" s="15"/>
      <c r="Z566" s="15"/>
      <c r="AA566" s="15"/>
      <c r="AB566" s="15"/>
      <c r="AC566" s="15"/>
      <c r="AD566" s="15"/>
      <c r="AE566" s="15"/>
      <c r="AF566" s="16"/>
      <c r="AG566" s="16"/>
      <c r="AH566" s="16"/>
      <c r="AI566" s="16"/>
      <c r="AJ566" s="16"/>
      <c r="AK566" s="16"/>
      <c r="AL566" s="16"/>
      <c r="AM566" s="16"/>
      <c r="AN566" s="16"/>
      <c r="AO566" s="16"/>
      <c r="AP566" s="16"/>
      <c r="AQ566" s="16"/>
      <c r="AR566" s="16"/>
      <c r="AS566" s="16"/>
      <c r="AT566" s="16"/>
      <c r="AU566" s="16"/>
      <c r="AV566" s="16"/>
      <c r="AW566" s="16"/>
      <c r="AX566" s="16"/>
      <c r="AY566" s="16"/>
      <c r="AZ566" s="16"/>
      <c r="BA566" s="16"/>
      <c r="BB566" s="16"/>
      <c r="BC566" s="16"/>
      <c r="BD566" s="16"/>
      <c r="BE566" s="16"/>
      <c r="BF566" s="16"/>
      <c r="BG566" s="16"/>
      <c r="BH566" s="16"/>
    </row>
    <row r="567" spans="6:60" s="22" customFormat="1">
      <c r="F567" s="9"/>
      <c r="J567" s="9"/>
      <c r="K567" s="9"/>
      <c r="L567" s="9"/>
      <c r="N567" s="9"/>
      <c r="O567" s="9"/>
      <c r="P567" s="9"/>
      <c r="Q567" s="9"/>
      <c r="R567" s="9"/>
      <c r="S567" s="12"/>
      <c r="T567" s="9"/>
      <c r="U567" s="9"/>
      <c r="V567" s="12"/>
      <c r="W567" s="12"/>
      <c r="X567" s="12"/>
      <c r="Y567" s="15"/>
      <c r="Z567" s="15"/>
      <c r="AA567" s="15"/>
      <c r="AB567" s="15"/>
      <c r="AC567" s="15"/>
      <c r="AD567" s="15"/>
      <c r="AE567" s="15"/>
      <c r="AF567" s="16"/>
      <c r="AG567" s="16"/>
      <c r="AH567" s="16"/>
      <c r="AI567" s="16"/>
      <c r="AJ567" s="16"/>
      <c r="AK567" s="16"/>
      <c r="AL567" s="16"/>
      <c r="AM567" s="16"/>
      <c r="AN567" s="16"/>
      <c r="AO567" s="16"/>
      <c r="AP567" s="16"/>
      <c r="AQ567" s="16"/>
      <c r="AR567" s="16"/>
      <c r="AS567" s="16"/>
      <c r="AT567" s="16"/>
      <c r="AU567" s="16"/>
      <c r="AV567" s="16"/>
      <c r="AW567" s="16"/>
      <c r="AX567" s="16"/>
      <c r="AY567" s="16"/>
      <c r="AZ567" s="16"/>
      <c r="BA567" s="16"/>
      <c r="BB567" s="16"/>
      <c r="BC567" s="16"/>
      <c r="BD567" s="16"/>
      <c r="BE567" s="16"/>
      <c r="BF567" s="16"/>
      <c r="BG567" s="16"/>
      <c r="BH567" s="16"/>
    </row>
    <row r="568" spans="6:60" s="22" customFormat="1">
      <c r="F568" s="9"/>
      <c r="J568" s="9"/>
      <c r="K568" s="9"/>
      <c r="L568" s="9"/>
      <c r="N568" s="9"/>
      <c r="O568" s="9"/>
      <c r="P568" s="9"/>
      <c r="Q568" s="9"/>
      <c r="R568" s="9"/>
      <c r="S568" s="12"/>
      <c r="T568" s="9"/>
      <c r="U568" s="9"/>
      <c r="V568" s="12"/>
      <c r="W568" s="12"/>
      <c r="X568" s="12"/>
      <c r="Y568" s="15"/>
      <c r="Z568" s="15"/>
      <c r="AA568" s="15"/>
      <c r="AB568" s="15"/>
      <c r="AC568" s="15"/>
      <c r="AD568" s="15"/>
      <c r="AE568" s="15"/>
      <c r="AF568" s="16"/>
      <c r="AG568" s="16"/>
      <c r="AH568" s="16"/>
      <c r="AI568" s="16"/>
      <c r="AJ568" s="16"/>
      <c r="AK568" s="16"/>
      <c r="AL568" s="16"/>
      <c r="AM568" s="16"/>
      <c r="AN568" s="16"/>
      <c r="AO568" s="16"/>
      <c r="AP568" s="16"/>
      <c r="AQ568" s="16"/>
      <c r="AR568" s="16"/>
      <c r="AS568" s="16"/>
      <c r="AT568" s="16"/>
      <c r="AU568" s="16"/>
      <c r="AV568" s="16"/>
      <c r="AW568" s="16"/>
      <c r="AX568" s="16"/>
      <c r="AY568" s="16"/>
      <c r="AZ568" s="16"/>
      <c r="BA568" s="16"/>
      <c r="BB568" s="16"/>
      <c r="BC568" s="16"/>
      <c r="BD568" s="16"/>
      <c r="BE568" s="16"/>
      <c r="BF568" s="16"/>
      <c r="BG568" s="16"/>
      <c r="BH568" s="16"/>
    </row>
    <row r="569" spans="6:60" s="22" customFormat="1">
      <c r="F569" s="9"/>
      <c r="J569" s="9"/>
      <c r="K569" s="9"/>
      <c r="L569" s="9"/>
      <c r="N569" s="9"/>
      <c r="O569" s="9"/>
      <c r="P569" s="9"/>
      <c r="Q569" s="9"/>
      <c r="R569" s="9"/>
      <c r="S569" s="12"/>
      <c r="T569" s="9"/>
      <c r="U569" s="9"/>
      <c r="V569" s="12"/>
      <c r="W569" s="12"/>
      <c r="X569" s="12"/>
      <c r="Y569" s="15"/>
      <c r="Z569" s="15"/>
      <c r="AA569" s="15"/>
      <c r="AB569" s="15"/>
      <c r="AC569" s="15"/>
      <c r="AD569" s="15"/>
      <c r="AE569" s="15"/>
      <c r="AF569" s="16"/>
      <c r="AG569" s="16"/>
      <c r="AH569" s="16"/>
      <c r="AI569" s="16"/>
      <c r="AJ569" s="16"/>
      <c r="AK569" s="16"/>
      <c r="AL569" s="16"/>
      <c r="AM569" s="16"/>
      <c r="AN569" s="16"/>
      <c r="AO569" s="16"/>
      <c r="AP569" s="16"/>
      <c r="AQ569" s="16"/>
      <c r="AR569" s="16"/>
      <c r="AS569" s="16"/>
      <c r="AT569" s="16"/>
      <c r="AU569" s="16"/>
      <c r="AV569" s="16"/>
      <c r="AW569" s="16"/>
      <c r="AX569" s="16"/>
      <c r="AY569" s="16"/>
      <c r="AZ569" s="16"/>
      <c r="BA569" s="16"/>
      <c r="BB569" s="16"/>
      <c r="BC569" s="16"/>
      <c r="BD569" s="16"/>
      <c r="BE569" s="16"/>
      <c r="BF569" s="16"/>
      <c r="BG569" s="16"/>
      <c r="BH569" s="16"/>
    </row>
    <row r="570" spans="6:60" s="22" customFormat="1">
      <c r="F570" s="9"/>
      <c r="J570" s="9"/>
      <c r="K570" s="9"/>
      <c r="L570" s="9"/>
      <c r="N570" s="9"/>
      <c r="O570" s="9"/>
      <c r="P570" s="9"/>
      <c r="Q570" s="9"/>
      <c r="R570" s="9"/>
      <c r="S570" s="12"/>
      <c r="T570" s="9"/>
      <c r="U570" s="9"/>
      <c r="V570" s="12"/>
      <c r="W570" s="12"/>
      <c r="X570" s="12"/>
      <c r="Y570" s="15"/>
      <c r="Z570" s="15"/>
      <c r="AA570" s="15"/>
      <c r="AB570" s="15"/>
      <c r="AC570" s="15"/>
      <c r="AD570" s="15"/>
      <c r="AE570" s="15"/>
      <c r="AF570" s="16"/>
      <c r="AG570" s="16"/>
      <c r="AH570" s="16"/>
      <c r="AI570" s="16"/>
      <c r="AJ570" s="16"/>
      <c r="AK570" s="16"/>
      <c r="AL570" s="16"/>
      <c r="AM570" s="16"/>
      <c r="AN570" s="16"/>
      <c r="AO570" s="16"/>
      <c r="AP570" s="16"/>
      <c r="AQ570" s="16"/>
      <c r="AR570" s="16"/>
      <c r="AS570" s="16"/>
      <c r="AT570" s="16"/>
      <c r="AU570" s="16"/>
      <c r="AV570" s="16"/>
      <c r="AW570" s="16"/>
      <c r="AX570" s="16"/>
      <c r="AY570" s="16"/>
      <c r="AZ570" s="16"/>
      <c r="BA570" s="16"/>
      <c r="BB570" s="16"/>
      <c r="BC570" s="16"/>
      <c r="BD570" s="16"/>
      <c r="BE570" s="16"/>
      <c r="BF570" s="16"/>
      <c r="BG570" s="16"/>
      <c r="BH570" s="16"/>
    </row>
    <row r="571" spans="6:60" s="22" customFormat="1">
      <c r="F571" s="9"/>
      <c r="J571" s="9"/>
      <c r="K571" s="9"/>
      <c r="L571" s="9"/>
      <c r="N571" s="9"/>
      <c r="O571" s="9"/>
      <c r="P571" s="9"/>
      <c r="Q571" s="9"/>
      <c r="R571" s="9"/>
      <c r="S571" s="12"/>
      <c r="T571" s="9"/>
      <c r="U571" s="9"/>
      <c r="V571" s="12"/>
      <c r="W571" s="12"/>
      <c r="X571" s="12"/>
      <c r="Y571" s="15"/>
      <c r="Z571" s="15"/>
      <c r="AA571" s="15"/>
      <c r="AB571" s="15"/>
      <c r="AC571" s="15"/>
      <c r="AD571" s="15"/>
      <c r="AE571" s="15"/>
      <c r="AF571" s="16"/>
      <c r="AG571" s="16"/>
      <c r="AH571" s="16"/>
      <c r="AI571" s="16"/>
      <c r="AJ571" s="16"/>
      <c r="AK571" s="16"/>
      <c r="AL571" s="16"/>
      <c r="AM571" s="16"/>
      <c r="AN571" s="16"/>
      <c r="AO571" s="16"/>
      <c r="AP571" s="16"/>
      <c r="AQ571" s="16"/>
      <c r="AR571" s="16"/>
      <c r="AS571" s="16"/>
      <c r="AT571" s="16"/>
      <c r="AU571" s="16"/>
      <c r="AV571" s="16"/>
      <c r="AW571" s="16"/>
      <c r="AX571" s="16"/>
      <c r="AY571" s="16"/>
      <c r="AZ571" s="16"/>
      <c r="BA571" s="16"/>
      <c r="BB571" s="16"/>
      <c r="BC571" s="16"/>
      <c r="BD571" s="16"/>
      <c r="BE571" s="16"/>
      <c r="BF571" s="16"/>
      <c r="BG571" s="16"/>
      <c r="BH571" s="16"/>
    </row>
    <row r="572" spans="6:60" s="22" customFormat="1">
      <c r="F572" s="9"/>
      <c r="J572" s="9"/>
      <c r="K572" s="9"/>
      <c r="L572" s="9"/>
      <c r="N572" s="9"/>
      <c r="O572" s="9"/>
      <c r="P572" s="9"/>
      <c r="Q572" s="9"/>
      <c r="R572" s="9"/>
      <c r="S572" s="12"/>
      <c r="T572" s="9"/>
      <c r="U572" s="9"/>
      <c r="V572" s="12"/>
      <c r="W572" s="12"/>
      <c r="X572" s="12"/>
      <c r="Y572" s="15"/>
      <c r="Z572" s="15"/>
      <c r="AA572" s="15"/>
      <c r="AB572" s="15"/>
      <c r="AC572" s="15"/>
      <c r="AD572" s="15"/>
      <c r="AE572" s="15"/>
      <c r="AF572" s="16"/>
      <c r="AG572" s="16"/>
      <c r="AH572" s="16"/>
      <c r="AI572" s="16"/>
      <c r="AJ572" s="16"/>
      <c r="AK572" s="16"/>
      <c r="AL572" s="16"/>
      <c r="AM572" s="16"/>
      <c r="AN572" s="16"/>
      <c r="AO572" s="16"/>
      <c r="AP572" s="16"/>
      <c r="AQ572" s="16"/>
      <c r="AR572" s="16"/>
      <c r="AS572" s="16"/>
      <c r="AT572" s="16"/>
      <c r="AU572" s="16"/>
      <c r="AV572" s="16"/>
      <c r="AW572" s="16"/>
      <c r="AX572" s="16"/>
      <c r="AY572" s="16"/>
      <c r="AZ572" s="16"/>
      <c r="BA572" s="16"/>
      <c r="BB572" s="16"/>
      <c r="BC572" s="16"/>
      <c r="BD572" s="16"/>
      <c r="BE572" s="16"/>
      <c r="BF572" s="16"/>
      <c r="BG572" s="16"/>
      <c r="BH572" s="16"/>
    </row>
    <row r="573" spans="6:60" s="22" customFormat="1">
      <c r="F573" s="9"/>
      <c r="J573" s="9"/>
      <c r="K573" s="9"/>
      <c r="L573" s="9"/>
      <c r="N573" s="9"/>
      <c r="O573" s="9"/>
      <c r="P573" s="9"/>
      <c r="Q573" s="9"/>
      <c r="R573" s="9"/>
      <c r="S573" s="12"/>
      <c r="T573" s="9"/>
      <c r="U573" s="9"/>
      <c r="V573" s="12"/>
      <c r="W573" s="12"/>
      <c r="X573" s="12"/>
      <c r="Y573" s="15"/>
      <c r="Z573" s="15"/>
      <c r="AA573" s="15"/>
      <c r="AB573" s="15"/>
      <c r="AC573" s="15"/>
      <c r="AD573" s="15"/>
      <c r="AE573" s="15"/>
      <c r="AF573" s="16"/>
      <c r="AG573" s="16"/>
      <c r="AH573" s="16"/>
      <c r="AI573" s="16"/>
      <c r="AJ573" s="16"/>
      <c r="AK573" s="16"/>
      <c r="AL573" s="16"/>
      <c r="AM573" s="16"/>
      <c r="AN573" s="16"/>
      <c r="AO573" s="16"/>
      <c r="AP573" s="16"/>
      <c r="AQ573" s="16"/>
      <c r="AR573" s="16"/>
      <c r="AS573" s="16"/>
      <c r="AT573" s="16"/>
      <c r="AU573" s="16"/>
      <c r="AV573" s="16"/>
      <c r="AW573" s="16"/>
      <c r="AX573" s="16"/>
      <c r="AY573" s="16"/>
      <c r="AZ573" s="16"/>
      <c r="BA573" s="16"/>
      <c r="BB573" s="16"/>
      <c r="BC573" s="16"/>
      <c r="BD573" s="16"/>
      <c r="BE573" s="16"/>
      <c r="BF573" s="16"/>
      <c r="BG573" s="16"/>
      <c r="BH573" s="16"/>
    </row>
    <row r="574" spans="6:60" s="22" customFormat="1">
      <c r="F574" s="9"/>
      <c r="J574" s="9"/>
      <c r="K574" s="9"/>
      <c r="L574" s="9"/>
      <c r="N574" s="9"/>
      <c r="O574" s="9"/>
      <c r="P574" s="9"/>
      <c r="Q574" s="9"/>
      <c r="R574" s="9"/>
      <c r="S574" s="12"/>
      <c r="T574" s="9"/>
      <c r="U574" s="9"/>
      <c r="V574" s="12"/>
      <c r="W574" s="12"/>
      <c r="X574" s="12"/>
      <c r="Y574" s="15"/>
      <c r="Z574" s="15"/>
      <c r="AA574" s="15"/>
      <c r="AB574" s="15"/>
      <c r="AC574" s="15"/>
      <c r="AD574" s="15"/>
      <c r="AE574" s="15"/>
      <c r="AF574" s="16"/>
      <c r="AG574" s="16"/>
      <c r="AH574" s="16"/>
      <c r="AI574" s="16"/>
      <c r="AJ574" s="16"/>
      <c r="AK574" s="16"/>
      <c r="AL574" s="16"/>
      <c r="AM574" s="16"/>
      <c r="AN574" s="16"/>
      <c r="AO574" s="16"/>
      <c r="AP574" s="16"/>
      <c r="AQ574" s="16"/>
      <c r="AR574" s="16"/>
      <c r="AS574" s="16"/>
      <c r="AT574" s="16"/>
      <c r="AU574" s="16"/>
      <c r="AV574" s="16"/>
      <c r="AW574" s="16"/>
      <c r="AX574" s="16"/>
      <c r="AY574" s="16"/>
      <c r="AZ574" s="16"/>
      <c r="BA574" s="16"/>
      <c r="BB574" s="16"/>
      <c r="BC574" s="16"/>
      <c r="BD574" s="16"/>
      <c r="BE574" s="16"/>
      <c r="BF574" s="16"/>
      <c r="BG574" s="16"/>
      <c r="BH574" s="16"/>
    </row>
    <row r="575" spans="6:60" s="22" customFormat="1">
      <c r="F575" s="9"/>
      <c r="J575" s="9"/>
      <c r="K575" s="9"/>
      <c r="L575" s="9"/>
      <c r="N575" s="9"/>
      <c r="O575" s="9"/>
      <c r="P575" s="9"/>
      <c r="Q575" s="9"/>
      <c r="R575" s="9"/>
      <c r="S575" s="12"/>
      <c r="T575" s="9"/>
      <c r="U575" s="9"/>
      <c r="V575" s="12"/>
      <c r="W575" s="12"/>
      <c r="X575" s="12"/>
      <c r="Y575" s="15"/>
      <c r="Z575" s="15"/>
      <c r="AA575" s="15"/>
      <c r="AB575" s="15"/>
      <c r="AC575" s="15"/>
      <c r="AD575" s="15"/>
      <c r="AE575" s="15"/>
      <c r="AF575" s="16"/>
      <c r="AG575" s="16"/>
      <c r="AH575" s="16"/>
      <c r="AI575" s="16"/>
      <c r="AJ575" s="16"/>
      <c r="AK575" s="16"/>
      <c r="AL575" s="16"/>
      <c r="AM575" s="16"/>
      <c r="AN575" s="16"/>
      <c r="AO575" s="16"/>
      <c r="AP575" s="16"/>
      <c r="AQ575" s="16"/>
      <c r="AR575" s="16"/>
      <c r="AS575" s="16"/>
      <c r="AT575" s="16"/>
      <c r="AU575" s="16"/>
      <c r="AV575" s="16"/>
      <c r="AW575" s="16"/>
      <c r="AX575" s="16"/>
      <c r="AY575" s="16"/>
      <c r="AZ575" s="16"/>
      <c r="BA575" s="16"/>
      <c r="BB575" s="16"/>
      <c r="BC575" s="16"/>
      <c r="BD575" s="16"/>
      <c r="BE575" s="16"/>
      <c r="BF575" s="16"/>
      <c r="BG575" s="16"/>
      <c r="BH575" s="16"/>
    </row>
    <row r="576" spans="6:60" s="22" customFormat="1">
      <c r="F576" s="9"/>
      <c r="J576" s="9"/>
      <c r="K576" s="9"/>
      <c r="L576" s="9"/>
      <c r="N576" s="9"/>
      <c r="O576" s="9"/>
      <c r="P576" s="9"/>
      <c r="Q576" s="9"/>
      <c r="R576" s="9"/>
      <c r="S576" s="12"/>
      <c r="T576" s="9"/>
      <c r="U576" s="9"/>
      <c r="V576" s="12"/>
      <c r="W576" s="12"/>
      <c r="X576" s="12"/>
      <c r="Y576" s="15"/>
      <c r="Z576" s="15"/>
      <c r="AA576" s="15"/>
      <c r="AB576" s="15"/>
      <c r="AC576" s="15"/>
      <c r="AD576" s="15"/>
      <c r="AE576" s="15"/>
      <c r="AF576" s="16"/>
      <c r="AG576" s="16"/>
      <c r="AH576" s="16"/>
      <c r="AI576" s="16"/>
      <c r="AJ576" s="16"/>
      <c r="AK576" s="16"/>
      <c r="AL576" s="16"/>
      <c r="AM576" s="16"/>
      <c r="AN576" s="16"/>
      <c r="AO576" s="16"/>
      <c r="AP576" s="16"/>
      <c r="AQ576" s="16"/>
      <c r="AR576" s="16"/>
      <c r="AS576" s="16"/>
      <c r="AT576" s="16"/>
      <c r="AU576" s="16"/>
      <c r="AV576" s="16"/>
      <c r="AW576" s="16"/>
      <c r="AX576" s="16"/>
      <c r="AY576" s="16"/>
      <c r="AZ576" s="16"/>
      <c r="BA576" s="16"/>
      <c r="BB576" s="16"/>
      <c r="BC576" s="16"/>
      <c r="BD576" s="16"/>
      <c r="BE576" s="16"/>
      <c r="BF576" s="16"/>
      <c r="BG576" s="16"/>
      <c r="BH576" s="16"/>
    </row>
    <row r="577" spans="6:60" s="22" customFormat="1">
      <c r="F577" s="9"/>
      <c r="J577" s="9"/>
      <c r="K577" s="9"/>
      <c r="L577" s="9"/>
      <c r="N577" s="9"/>
      <c r="O577" s="9"/>
      <c r="P577" s="9"/>
      <c r="Q577" s="9"/>
      <c r="R577" s="9"/>
      <c r="S577" s="12"/>
      <c r="T577" s="9"/>
      <c r="U577" s="9"/>
      <c r="V577" s="12"/>
      <c r="W577" s="12"/>
      <c r="X577" s="12"/>
      <c r="Y577" s="15"/>
      <c r="Z577" s="15"/>
      <c r="AA577" s="15"/>
      <c r="AB577" s="15"/>
      <c r="AC577" s="15"/>
      <c r="AD577" s="15"/>
      <c r="AE577" s="15"/>
      <c r="AF577" s="16"/>
      <c r="AG577" s="16"/>
      <c r="AH577" s="16"/>
      <c r="AI577" s="16"/>
      <c r="AJ577" s="16"/>
      <c r="AK577" s="16"/>
      <c r="AL577" s="16"/>
      <c r="AM577" s="16"/>
      <c r="AN577" s="16"/>
      <c r="AO577" s="16"/>
      <c r="AP577" s="16"/>
      <c r="AQ577" s="16"/>
      <c r="AR577" s="16"/>
      <c r="AS577" s="16"/>
      <c r="AT577" s="16"/>
      <c r="AU577" s="16"/>
      <c r="AV577" s="16"/>
      <c r="AW577" s="16"/>
      <c r="AX577" s="16"/>
      <c r="AY577" s="16"/>
      <c r="AZ577" s="16"/>
      <c r="BA577" s="16"/>
      <c r="BB577" s="16"/>
      <c r="BC577" s="16"/>
      <c r="BD577" s="16"/>
      <c r="BE577" s="16"/>
      <c r="BF577" s="16"/>
      <c r="BG577" s="16"/>
      <c r="BH577" s="16"/>
    </row>
    <row r="578" spans="6:60" s="22" customFormat="1">
      <c r="F578" s="9"/>
      <c r="J578" s="9"/>
      <c r="K578" s="9"/>
      <c r="L578" s="9"/>
      <c r="N578" s="9"/>
      <c r="O578" s="9"/>
      <c r="P578" s="9"/>
      <c r="Q578" s="9"/>
      <c r="R578" s="9"/>
      <c r="S578" s="12"/>
      <c r="T578" s="9"/>
      <c r="U578" s="9"/>
      <c r="V578" s="12"/>
      <c r="W578" s="12"/>
      <c r="X578" s="12"/>
      <c r="Y578" s="15"/>
      <c r="Z578" s="15"/>
      <c r="AA578" s="15"/>
      <c r="AB578" s="15"/>
      <c r="AC578" s="15"/>
      <c r="AD578" s="15"/>
      <c r="AE578" s="15"/>
      <c r="AF578" s="16"/>
      <c r="AG578" s="16"/>
      <c r="AH578" s="16"/>
      <c r="AI578" s="16"/>
      <c r="AJ578" s="16"/>
      <c r="AK578" s="16"/>
      <c r="AL578" s="16"/>
      <c r="AM578" s="16"/>
      <c r="AN578" s="16"/>
      <c r="AO578" s="16"/>
      <c r="AP578" s="16"/>
      <c r="AQ578" s="16"/>
      <c r="AR578" s="16"/>
      <c r="AS578" s="16"/>
      <c r="AT578" s="16"/>
      <c r="AU578" s="16"/>
      <c r="AV578" s="16"/>
      <c r="AW578" s="16"/>
      <c r="AX578" s="16"/>
      <c r="AY578" s="16"/>
      <c r="AZ578" s="16"/>
      <c r="BA578" s="16"/>
      <c r="BB578" s="16"/>
      <c r="BC578" s="16"/>
      <c r="BD578" s="16"/>
      <c r="BE578" s="16"/>
      <c r="BF578" s="16"/>
      <c r="BG578" s="16"/>
      <c r="BH578" s="16"/>
    </row>
    <row r="579" spans="6:60" s="22" customFormat="1">
      <c r="F579" s="9"/>
      <c r="J579" s="9"/>
      <c r="K579" s="9"/>
      <c r="L579" s="9"/>
      <c r="N579" s="9"/>
      <c r="O579" s="9"/>
      <c r="P579" s="9"/>
      <c r="Q579" s="9"/>
      <c r="R579" s="9"/>
      <c r="S579" s="12"/>
      <c r="T579" s="9"/>
      <c r="U579" s="9"/>
      <c r="V579" s="12"/>
      <c r="W579" s="12"/>
      <c r="X579" s="12"/>
      <c r="Y579" s="15"/>
      <c r="Z579" s="15"/>
      <c r="AA579" s="15"/>
      <c r="AB579" s="15"/>
      <c r="AC579" s="15"/>
      <c r="AD579" s="15"/>
      <c r="AE579" s="15"/>
      <c r="AF579" s="16"/>
      <c r="AG579" s="16"/>
      <c r="AH579" s="16"/>
      <c r="AI579" s="16"/>
      <c r="AJ579" s="16"/>
      <c r="AK579" s="16"/>
      <c r="AL579" s="16"/>
      <c r="AM579" s="16"/>
      <c r="AN579" s="16"/>
      <c r="AO579" s="16"/>
      <c r="AP579" s="16"/>
      <c r="AQ579" s="16"/>
      <c r="AR579" s="16"/>
      <c r="AS579" s="16"/>
      <c r="AT579" s="16"/>
      <c r="AU579" s="16"/>
      <c r="AV579" s="16"/>
      <c r="AW579" s="16"/>
      <c r="AX579" s="16"/>
      <c r="AY579" s="16"/>
      <c r="AZ579" s="16"/>
      <c r="BA579" s="16"/>
      <c r="BB579" s="16"/>
      <c r="BC579" s="16"/>
      <c r="BD579" s="16"/>
      <c r="BE579" s="16"/>
      <c r="BF579" s="16"/>
      <c r="BG579" s="16"/>
      <c r="BH579" s="16"/>
    </row>
  </sheetData>
  <phoneticPr fontId="2" type="noConversion"/>
  <conditionalFormatting sqref="BE1:XFD1 E1:I1">
    <cfRule type="duplicateValues" dxfId="128" priority="1719"/>
  </conditionalFormatting>
  <conditionalFormatting sqref="F449:F455 F187:F208 F435:F445 F212:F220 F1:F16 F40 F130:F132">
    <cfRule type="cellIs" dxfId="127" priority="1220" operator="equal">
      <formula>"ID"</formula>
    </cfRule>
    <cfRule type="cellIs" dxfId="126" priority="1635" operator="equal">
      <formula>"行動序號"</formula>
    </cfRule>
  </conditionalFormatting>
  <conditionalFormatting sqref="N11 N437:N454 M1:M11 M12:N16 M459:M1048576 M17:M457">
    <cfRule type="expression" dxfId="125" priority="1639">
      <formula>OR($F1="行動序號",$F1="ID")</formula>
    </cfRule>
  </conditionalFormatting>
  <conditionalFormatting sqref="N11 N437:N454 M1:M11 M12:N16 M459:M1048576 M17:M457">
    <cfRule type="expression" dxfId="124" priority="1106">
      <formula>$F1="行動ID"</formula>
    </cfRule>
  </conditionalFormatting>
  <conditionalFormatting sqref="J1">
    <cfRule type="duplicateValues" dxfId="123" priority="1218"/>
  </conditionalFormatting>
  <conditionalFormatting sqref="K1:L1">
    <cfRule type="duplicateValues" dxfId="122" priority="1215"/>
  </conditionalFormatting>
  <conditionalFormatting sqref="F23:F24 F44:F45 F61:F62 F78:F79 F139:F140 F156:F157 F173:F174 F47:F49 F64:F66 F81:F83 F142:F144 F159:F161 F176:F178 F53 F70 F87 F148 F165 F51 F68 F85 F146 F163 F180 F109:F110 F26:F31 F112:F113 F115:F120">
    <cfRule type="cellIs" dxfId="121" priority="1085" operator="equal">
      <formula>"ID"</formula>
    </cfRule>
    <cfRule type="cellIs" dxfId="120" priority="1087" operator="equal">
      <formula>"行動序號"</formula>
    </cfRule>
  </conditionalFormatting>
  <conditionalFormatting sqref="F32:F33 F55:F56 F72:F73 F105:F106 F133:F134 F150:F151 F167:F168">
    <cfRule type="cellIs" dxfId="119" priority="1079" operator="equal">
      <formula>"ID"</formula>
    </cfRule>
    <cfRule type="cellIs" dxfId="118" priority="1080" operator="equal">
      <formula>"行動序號"</formula>
    </cfRule>
  </conditionalFormatting>
  <conditionalFormatting sqref="F25 F46 F63 F80 F141 F158 F175">
    <cfRule type="cellIs" dxfId="117" priority="1069" operator="equal">
      <formula>"ID"</formula>
    </cfRule>
    <cfRule type="cellIs" dxfId="116" priority="1070" operator="equal">
      <formula>"行動序號"</formula>
    </cfRule>
  </conditionalFormatting>
  <conditionalFormatting sqref="F52 F69 F86 F147 F164">
    <cfRule type="cellIs" dxfId="115" priority="1067" operator="equal">
      <formula>"ID"</formula>
    </cfRule>
    <cfRule type="cellIs" dxfId="114" priority="1068" operator="equal">
      <formula>"行動序號"</formula>
    </cfRule>
  </conditionalFormatting>
  <conditionalFormatting sqref="F57 F74 F135 F152 F169">
    <cfRule type="cellIs" dxfId="113" priority="1061" operator="equal">
      <formula>"ID"</formula>
    </cfRule>
    <cfRule type="cellIs" dxfId="112" priority="1062" operator="equal">
      <formula>"行動序號"</formula>
    </cfRule>
  </conditionalFormatting>
  <conditionalFormatting sqref="N437:N454 N11:N16">
    <cfRule type="expression" dxfId="111" priority="1722">
      <formula>$E11&gt;0</formula>
    </cfRule>
  </conditionalFormatting>
  <conditionalFormatting sqref="F58 F75 F136 F153 F170 F34:F35 F40">
    <cfRule type="cellIs" dxfId="110" priority="1057" operator="equal">
      <formula>"ID"</formula>
    </cfRule>
    <cfRule type="cellIs" dxfId="109" priority="1058" operator="equal">
      <formula>"行動序號"</formula>
    </cfRule>
  </conditionalFormatting>
  <conditionalFormatting sqref="F50 F67 F84 F145 F162 F179">
    <cfRule type="cellIs" dxfId="108" priority="1054" operator="equal">
      <formula>"ID"</formula>
    </cfRule>
    <cfRule type="cellIs" dxfId="107" priority="1055" operator="equal">
      <formula>"行動序號"</formula>
    </cfRule>
  </conditionalFormatting>
  <conditionalFormatting sqref="J23 J225 G235 M459:M1048576 J460 J109 J124 M1:M457">
    <cfRule type="expression" dxfId="106" priority="830">
      <formula>_xlfn.ISFORMULA(G1)</formula>
    </cfRule>
  </conditionalFormatting>
  <conditionalFormatting sqref="F242:F243 F264:F265 F286:F287 F308:F309 F330:F331 F352:F353 F374:F375 F396:F397 F418:F419">
    <cfRule type="cellIs" dxfId="105" priority="682" operator="equal">
      <formula>"ID"</formula>
    </cfRule>
    <cfRule type="cellIs" dxfId="104" priority="683" operator="equal">
      <formula>"行動序號"</formula>
    </cfRule>
  </conditionalFormatting>
  <conditionalFormatting sqref="F225:F235 F247:F257 F269:F279 F291:F301 F313:F323 F335:F345 F357:F367 F379:F389 F401:F411 F423:F433">
    <cfRule type="cellIs" dxfId="103" priority="679" operator="equal">
      <formula>"ID"</formula>
    </cfRule>
    <cfRule type="cellIs" dxfId="102" priority="680" operator="equal">
      <formula>"行動序號"</formula>
    </cfRule>
  </conditionalFormatting>
  <conditionalFormatting sqref="F236 F258 F280 F302 F324 F346 F368 F390 F412 F434">
    <cfRule type="cellIs" dxfId="101" priority="672" operator="equal">
      <formula>"ID"</formula>
    </cfRule>
    <cfRule type="cellIs" dxfId="100" priority="673" operator="equal">
      <formula>"行動序號"</formula>
    </cfRule>
  </conditionalFormatting>
  <conditionalFormatting sqref="F239:F241 F261:F263 F283:F285 F305:F307 F327:F329 F349:F351 F371:F373 F393:F395 F415:F417">
    <cfRule type="cellIs" dxfId="99" priority="669" operator="equal">
      <formula>"ID"</formula>
    </cfRule>
    <cfRule type="cellIs" dxfId="98" priority="670" operator="equal">
      <formula>"行動序號"</formula>
    </cfRule>
  </conditionalFormatting>
  <conditionalFormatting sqref="F209:F211">
    <cfRule type="cellIs" dxfId="97" priority="654" operator="equal">
      <formula>"行動ID"</formula>
    </cfRule>
    <cfRule type="cellIs" dxfId="96" priority="655" operator="equal">
      <formula>"ID"</formula>
    </cfRule>
    <cfRule type="cellIs" dxfId="95" priority="657" operator="equal">
      <formula>"行動序號"</formula>
    </cfRule>
  </conditionalFormatting>
  <conditionalFormatting sqref="F209:F211">
    <cfRule type="cellIs" dxfId="94" priority="656" operator="equal">
      <formula>"行動序號"</formula>
    </cfRule>
  </conditionalFormatting>
  <conditionalFormatting sqref="F637:F639">
    <cfRule type="cellIs" dxfId="93" priority="268" operator="equal">
      <formula>"ID"</formula>
    </cfRule>
    <cfRule type="cellIs" dxfId="92" priority="269" operator="equal">
      <formula>"行動序號"</formula>
    </cfRule>
  </conditionalFormatting>
  <conditionalFormatting sqref="F446:F448">
    <cfRule type="cellIs" dxfId="91" priority="264" operator="equal">
      <formula>"行動ID"</formula>
    </cfRule>
    <cfRule type="cellIs" dxfId="90" priority="265" operator="equal">
      <formula>"ID"</formula>
    </cfRule>
    <cfRule type="cellIs" dxfId="89" priority="267" operator="equal">
      <formula>"行動序號"</formula>
    </cfRule>
  </conditionalFormatting>
  <conditionalFormatting sqref="F446:F448">
    <cfRule type="cellIs" dxfId="88" priority="266" operator="equal">
      <formula>"行動序號"</formula>
    </cfRule>
  </conditionalFormatting>
  <conditionalFormatting sqref="F649">
    <cfRule type="cellIs" dxfId="87" priority="102" operator="equal">
      <formula>"ID"</formula>
    </cfRule>
    <cfRule type="cellIs" dxfId="86" priority="103" operator="equal">
      <formula>"行動序號"</formula>
    </cfRule>
  </conditionalFormatting>
  <conditionalFormatting sqref="F237 F259 F281 F303 F325 F347 F369 F391 F413">
    <cfRule type="cellIs" dxfId="85" priority="90" operator="equal">
      <formula>"ID"</formula>
    </cfRule>
    <cfRule type="cellIs" dxfId="84" priority="91" operator="equal">
      <formula>"行動序號"</formula>
    </cfRule>
  </conditionalFormatting>
  <conditionalFormatting sqref="F244 F266 F288 F310 F332 F354 F376 F398 F420">
    <cfRule type="cellIs" dxfId="83" priority="81" operator="equal">
      <formula>"ID"</formula>
    </cfRule>
    <cfRule type="cellIs" dxfId="82" priority="82" operator="equal">
      <formula>"行動序號"</formula>
    </cfRule>
  </conditionalFormatting>
  <conditionalFormatting sqref="F238 F260 F282 F304 F326 F348 F370 F392 F414">
    <cfRule type="cellIs" dxfId="81" priority="70" operator="equal">
      <formula>"ID"</formula>
    </cfRule>
    <cfRule type="cellIs" dxfId="80" priority="71" operator="equal">
      <formula>"行動序號"</formula>
    </cfRule>
  </conditionalFormatting>
  <conditionalFormatting sqref="F473 F489 F504 F519 F534 F549 F564 F579">
    <cfRule type="cellIs" dxfId="79" priority="64" operator="equal">
      <formula>"ID"</formula>
    </cfRule>
    <cfRule type="cellIs" dxfId="78" priority="65" operator="equal">
      <formula>"行動序號"</formula>
    </cfRule>
  </conditionalFormatting>
  <conditionalFormatting sqref="F460:F469 F476:F485 F491:F500 F506:F515 F521:F530 F536:F545 F551:F560 F566:F575">
    <cfRule type="cellIs" dxfId="77" priority="59" operator="equal">
      <formula>"ID"</formula>
    </cfRule>
    <cfRule type="cellIs" dxfId="76" priority="60" operator="equal">
      <formula>"行動序號"</formula>
    </cfRule>
  </conditionalFormatting>
  <conditionalFormatting sqref="F471 F487 F502 F517 F532 F547 F562 F577">
    <cfRule type="cellIs" dxfId="75" priority="52" operator="equal">
      <formula>"ID"</formula>
    </cfRule>
    <cfRule type="cellIs" dxfId="74" priority="53" operator="equal">
      <formula>"行動序號"</formula>
    </cfRule>
  </conditionalFormatting>
  <conditionalFormatting sqref="F472 F488 F503 F518 F533 F548 F563 F578">
    <cfRule type="cellIs" dxfId="73" priority="49" operator="equal">
      <formula>"ID"</formula>
    </cfRule>
    <cfRule type="cellIs" dxfId="72" priority="50" operator="equal">
      <formula>"行動序號"</formula>
    </cfRule>
  </conditionalFormatting>
  <conditionalFormatting sqref="F474">
    <cfRule type="cellIs" dxfId="71" priority="37" operator="equal">
      <formula>"ID"</formula>
    </cfRule>
    <cfRule type="cellIs" dxfId="70" priority="38" operator="equal">
      <formula>"行動序號"</formula>
    </cfRule>
  </conditionalFormatting>
  <conditionalFormatting sqref="J23 G235">
    <cfRule type="expression" dxfId="69" priority="1726">
      <formula>OR(#REF!="行動序號",#REF!="ID")</formula>
    </cfRule>
  </conditionalFormatting>
  <conditionalFormatting sqref="J23 G235">
    <cfRule type="expression" dxfId="68" priority="1728">
      <formula>#REF!="行動ID"</formula>
    </cfRule>
  </conditionalFormatting>
  <conditionalFormatting sqref="J225">
    <cfRule type="expression" dxfId="67" priority="1732">
      <formula>OR(#REF!="行動序號",#REF!="ID")</formula>
    </cfRule>
  </conditionalFormatting>
  <conditionalFormatting sqref="J225">
    <cfRule type="expression" dxfId="66" priority="1734">
      <formula>#REF!="行動ID"</formula>
    </cfRule>
  </conditionalFormatting>
  <conditionalFormatting sqref="N1:BD1">
    <cfRule type="duplicateValues" dxfId="65" priority="1735"/>
  </conditionalFormatting>
  <conditionalFormatting sqref="J460">
    <cfRule type="expression" dxfId="64" priority="1739">
      <formula>OR($F458="行動序號",$F458="ID")</formula>
    </cfRule>
  </conditionalFormatting>
  <conditionalFormatting sqref="J460">
    <cfRule type="expression" dxfId="63" priority="1741">
      <formula>$F458="行動ID"</formula>
    </cfRule>
  </conditionalFormatting>
  <conditionalFormatting sqref="F17">
    <cfRule type="cellIs" dxfId="62" priority="31" operator="equal">
      <formula>"ID"</formula>
    </cfRule>
    <cfRule type="cellIs" dxfId="61" priority="32" operator="equal">
      <formula>"行動序號"</formula>
    </cfRule>
  </conditionalFormatting>
  <conditionalFormatting sqref="F111">
    <cfRule type="cellIs" dxfId="60" priority="23" operator="equal">
      <formula>"ID"</formula>
    </cfRule>
    <cfRule type="cellIs" dxfId="59" priority="24" operator="equal">
      <formula>"行動序號"</formula>
    </cfRule>
  </conditionalFormatting>
  <conditionalFormatting sqref="J109">
    <cfRule type="expression" dxfId="58" priority="27">
      <formula>OR(#REF!="行動序號",#REF!="ID")</formula>
    </cfRule>
  </conditionalFormatting>
  <conditionalFormatting sqref="J109">
    <cfRule type="expression" dxfId="57" priority="28">
      <formula>#REF!="行動ID"</formula>
    </cfRule>
  </conditionalFormatting>
  <conditionalFormatting sqref="F36">
    <cfRule type="cellIs" dxfId="56" priority="17" operator="equal">
      <formula>"ID"</formula>
    </cfRule>
    <cfRule type="cellIs" dxfId="55" priority="18" operator="equal">
      <formula>"行動序號"</formula>
    </cfRule>
  </conditionalFormatting>
  <conditionalFormatting sqref="F37 F39">
    <cfRule type="cellIs" dxfId="54" priority="15" operator="equal">
      <formula>"ID"</formula>
    </cfRule>
    <cfRule type="cellIs" dxfId="53" priority="16" operator="equal">
      <formula>"行動序號"</formula>
    </cfRule>
  </conditionalFormatting>
  <conditionalFormatting sqref="F38">
    <cfRule type="cellIs" dxfId="52" priority="13" operator="equal">
      <formula>"ID"</formula>
    </cfRule>
    <cfRule type="cellIs" dxfId="51" priority="14" operator="equal">
      <formula>"行動序號"</formula>
    </cfRule>
  </conditionalFormatting>
  <conditionalFormatting sqref="F41">
    <cfRule type="cellIs" dxfId="50" priority="11" operator="equal">
      <formula>"ID"</formula>
    </cfRule>
    <cfRule type="cellIs" dxfId="49" priority="12" operator="equal">
      <formula>"行動序號"</formula>
    </cfRule>
  </conditionalFormatting>
  <conditionalFormatting sqref="F114">
    <cfRule type="cellIs" dxfId="48" priority="9" operator="equal">
      <formula>"ID"</formula>
    </cfRule>
    <cfRule type="cellIs" dxfId="47" priority="10" operator="equal">
      <formula>"行動序號"</formula>
    </cfRule>
  </conditionalFormatting>
  <conditionalFormatting sqref="F124:F125 F127:F128">
    <cfRule type="cellIs" dxfId="46" priority="7" operator="equal">
      <formula>"ID"</formula>
    </cfRule>
    <cfRule type="cellIs" dxfId="45" priority="8" operator="equal">
      <formula>"行動序號"</formula>
    </cfRule>
  </conditionalFormatting>
  <conditionalFormatting sqref="F126">
    <cfRule type="cellIs" dxfId="44" priority="3" operator="equal">
      <formula>"ID"</formula>
    </cfRule>
    <cfRule type="cellIs" dxfId="43" priority="4" operator="equal">
      <formula>"行動序號"</formula>
    </cfRule>
  </conditionalFormatting>
  <conditionalFormatting sqref="J124">
    <cfRule type="expression" dxfId="42" priority="5">
      <formula>OR(#REF!="行動序號",#REF!="ID")</formula>
    </cfRule>
  </conditionalFormatting>
  <conditionalFormatting sqref="J124">
    <cfRule type="expression" dxfId="41" priority="6">
      <formula>#REF!="行動ID"</formula>
    </cfRule>
  </conditionalFormatting>
  <conditionalFormatting sqref="F129">
    <cfRule type="cellIs" dxfId="40" priority="1" operator="equal">
      <formula>"ID"</formula>
    </cfRule>
    <cfRule type="cellIs" dxfId="39" priority="2" operator="equal">
      <formula>"行動序號"</formula>
    </cfRule>
  </conditionalFormatting>
  <dataValidations count="1">
    <dataValidation type="list" allowBlank="1" showInputMessage="1" showErrorMessage="1" sqref="L441 L456 L5:L6 K439:L439 F439 N14:O15 K8 G14:L15 F204:L217 L186 J218:J220 F190:L190 L444 O11 F11:F15 H11:I11 K11:L11 K19 K102:L102 F129 K131 F131 L129 L124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6EA60-8BDF-48CD-A6B2-2E9DEBE6B087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94DC8F45-A454-4347-8CA6-35A660A7988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30F1-F556-487C-8F4E-6451EE9957D4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150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151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234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152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153</v>
      </c>
      <c r="C17" s="7" t="s">
        <v>235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154</v>
      </c>
      <c r="E20" t="str">
        <f t="shared" si="0"/>
        <v>啟動依ID,</v>
      </c>
      <c r="H20"/>
    </row>
    <row r="21" spans="1:8">
      <c r="A21" s="7" t="s">
        <v>27</v>
      </c>
      <c r="B21" s="7" t="s">
        <v>155</v>
      </c>
      <c r="C21" s="7" t="s">
        <v>156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157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158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159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160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161</v>
      </c>
      <c r="C26" s="7" t="s">
        <v>162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163</v>
      </c>
      <c r="C27" s="7" t="s">
        <v>164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165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166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167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168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169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170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171</v>
      </c>
      <c r="C36" s="7" t="s">
        <v>172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173</v>
      </c>
      <c r="C37" s="7" t="s">
        <v>174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175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176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177</v>
      </c>
      <c r="E42" t="str">
        <f t="shared" si="0"/>
        <v>死亡時間,</v>
      </c>
      <c r="H42"/>
    </row>
    <row r="43" spans="1:8">
      <c r="A43" s="7" t="s">
        <v>27</v>
      </c>
      <c r="B43" s="7" t="s">
        <v>231</v>
      </c>
      <c r="C43" s="7" t="s">
        <v>232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178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179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180</v>
      </c>
      <c r="E48" t="str">
        <f t="shared" si="0"/>
        <v>位置參數,</v>
      </c>
      <c r="H48"/>
    </row>
    <row r="49" spans="1:8">
      <c r="A49" s="7" t="s">
        <v>27</v>
      </c>
      <c r="B49" s="7" t="s">
        <v>181</v>
      </c>
      <c r="C49" s="7" t="s">
        <v>182</v>
      </c>
      <c r="E49" t="str">
        <f t="shared" si="0"/>
        <v>加位置,</v>
      </c>
      <c r="H49"/>
    </row>
    <row r="50" spans="1:8">
      <c r="A50" s="7" t="s">
        <v>27</v>
      </c>
      <c r="B50" s="7" t="s">
        <v>260</v>
      </c>
      <c r="C50" s="7" t="s">
        <v>261</v>
      </c>
      <c r="E50" t="str">
        <f t="shared" si="0"/>
        <v>記錄位置,</v>
      </c>
      <c r="H50"/>
    </row>
    <row r="51" spans="1:8">
      <c r="A51" s="7" t="s">
        <v>27</v>
      </c>
      <c r="B51" s="7" t="s">
        <v>262</v>
      </c>
      <c r="C51" s="7" t="s">
        <v>263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183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184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185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186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187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188</v>
      </c>
      <c r="C59" s="7" t="s">
        <v>189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190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236</v>
      </c>
      <c r="C61" s="7" t="s">
        <v>237</v>
      </c>
      <c r="E61" t="str">
        <f t="shared" si="0"/>
        <v>子旋轉角度,</v>
      </c>
      <c r="H61"/>
    </row>
    <row r="62" spans="1:8">
      <c r="A62" s="7" t="s">
        <v>27</v>
      </c>
      <c r="B62" s="25" t="s">
        <v>238</v>
      </c>
      <c r="C62" s="7" t="s">
        <v>239</v>
      </c>
      <c r="E62" t="str">
        <f t="shared" si="0"/>
        <v>子加旋轉角度,</v>
      </c>
      <c r="H62"/>
    </row>
    <row r="63" spans="1:8">
      <c r="A63" s="7" t="s">
        <v>27</v>
      </c>
      <c r="B63" s="7" t="s">
        <v>264</v>
      </c>
      <c r="C63" s="7" t="s">
        <v>265</v>
      </c>
      <c r="E63" t="str">
        <f t="shared" si="0"/>
        <v>記錄角度,</v>
      </c>
      <c r="H63"/>
    </row>
    <row r="64" spans="1:8">
      <c r="A64" s="7" t="s">
        <v>27</v>
      </c>
      <c r="B64" s="7" t="s">
        <v>267</v>
      </c>
      <c r="C64" s="7" t="s">
        <v>266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191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192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193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194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195</v>
      </c>
      <c r="C73" s="7" t="s">
        <v>196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197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198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199</v>
      </c>
      <c r="E76" t="str">
        <f t="shared" si="0"/>
        <v>回收距離,</v>
      </c>
      <c r="H76"/>
    </row>
    <row r="77" spans="1:11">
      <c r="A77" s="7" t="s">
        <v>27</v>
      </c>
      <c r="B77" s="7" t="s">
        <v>200</v>
      </c>
      <c r="C77" s="7" t="s">
        <v>201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202</v>
      </c>
      <c r="C78" s="7" t="s">
        <v>203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204</v>
      </c>
      <c r="C79" s="7" t="s">
        <v>205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206</v>
      </c>
      <c r="C80" s="7" t="s">
        <v>207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208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209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210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211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212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213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214</v>
      </c>
      <c r="C91" s="7" t="s">
        <v>215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216</v>
      </c>
      <c r="C92" s="7" t="s">
        <v>217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218</v>
      </c>
      <c r="C93" s="7" t="s">
        <v>219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220</v>
      </c>
      <c r="C94" s="7" t="s">
        <v>221</v>
      </c>
      <c r="E94" t="str">
        <f t="shared" si="1"/>
        <v>玩家Shift,</v>
      </c>
      <c r="H94"/>
    </row>
    <row r="95" spans="1:11">
      <c r="A95" s="7" t="s">
        <v>27</v>
      </c>
      <c r="B95" s="7" t="s">
        <v>222</v>
      </c>
      <c r="C95" s="7" t="s">
        <v>223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224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225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226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227</v>
      </c>
      <c r="C114" s="7" t="s">
        <v>22</v>
      </c>
      <c r="D114" s="7"/>
      <c r="L114" s="7"/>
    </row>
    <row r="115" spans="1:12">
      <c r="A115" s="7" t="s">
        <v>141</v>
      </c>
      <c r="B115" s="7" t="s">
        <v>228</v>
      </c>
      <c r="C115" s="7" t="s">
        <v>23</v>
      </c>
      <c r="H115"/>
    </row>
    <row r="116" spans="1:12">
      <c r="A116" s="7" t="s">
        <v>141</v>
      </c>
      <c r="B116" s="7" t="s">
        <v>268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E4646-82F2-411B-92F3-24AE4998CDAF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229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230</v>
      </c>
      <c r="D4" s="20"/>
      <c r="G4" s="9"/>
      <c r="H4" s="18"/>
    </row>
    <row r="5" spans="1:10" ht="17.25" customHeight="1">
      <c r="A5" s="20" t="s">
        <v>100</v>
      </c>
      <c r="B5" s="20" t="s">
        <v>224</v>
      </c>
      <c r="C5" s="20" t="s">
        <v>227</v>
      </c>
      <c r="D5" s="20"/>
      <c r="G5" s="9"/>
    </row>
    <row r="6" spans="1:10">
      <c r="A6" s="20" t="s">
        <v>103</v>
      </c>
      <c r="B6" s="20" t="s">
        <v>225</v>
      </c>
      <c r="C6" s="20" t="s">
        <v>228</v>
      </c>
      <c r="D6" s="20"/>
      <c r="G6" s="9"/>
    </row>
    <row r="7" spans="1:10">
      <c r="A7" s="20" t="s">
        <v>48</v>
      </c>
      <c r="B7" s="20" t="s">
        <v>226</v>
      </c>
      <c r="C7" s="24" t="s">
        <v>268</v>
      </c>
      <c r="D7" s="20"/>
      <c r="G7" s="9"/>
    </row>
    <row r="8" spans="1:10">
      <c r="A8" s="20" t="s">
        <v>151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234</v>
      </c>
      <c r="B10" s="20"/>
      <c r="C10" s="20"/>
      <c r="D10" s="20"/>
      <c r="G10" s="9"/>
    </row>
    <row r="11" spans="1:10">
      <c r="A11" s="20" t="s">
        <v>152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153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143</v>
      </c>
      <c r="C20"/>
      <c r="G20" s="9"/>
    </row>
    <row r="21" spans="1:7">
      <c r="A21" s="20" t="s">
        <v>155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161</v>
      </c>
      <c r="C26"/>
      <c r="G26" s="9"/>
    </row>
    <row r="27" spans="1:7">
      <c r="A27" s="20" t="s">
        <v>163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171</v>
      </c>
      <c r="C36"/>
    </row>
    <row r="37" spans="1:7">
      <c r="A37" s="20" t="s">
        <v>173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98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231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99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181</v>
      </c>
      <c r="C49"/>
      <c r="G49" s="9"/>
    </row>
    <row r="50" spans="1:8">
      <c r="A50" s="25" t="s">
        <v>264</v>
      </c>
      <c r="C50"/>
      <c r="G50" s="9"/>
    </row>
    <row r="51" spans="1:8">
      <c r="A51" s="25" t="s">
        <v>269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240</v>
      </c>
      <c r="C57"/>
      <c r="G57" s="9"/>
    </row>
    <row r="58" spans="1:8">
      <c r="A58" s="20" t="s">
        <v>133</v>
      </c>
      <c r="G58" s="9"/>
    </row>
    <row r="59" spans="1:8">
      <c r="A59" s="20" t="s">
        <v>188</v>
      </c>
      <c r="G59" s="9"/>
    </row>
    <row r="60" spans="1:8">
      <c r="A60" s="20" t="s">
        <v>115</v>
      </c>
      <c r="G60" s="9"/>
    </row>
    <row r="61" spans="1:8">
      <c r="A61" s="25" t="s">
        <v>236</v>
      </c>
      <c r="G61" s="9"/>
    </row>
    <row r="62" spans="1:8">
      <c r="A62" s="25" t="s">
        <v>238</v>
      </c>
      <c r="G62" s="9"/>
    </row>
    <row r="63" spans="1:8">
      <c r="A63" s="25" t="s">
        <v>264</v>
      </c>
      <c r="G63" s="9"/>
    </row>
    <row r="64" spans="1:8">
      <c r="A64" s="25" t="s">
        <v>267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195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200</v>
      </c>
      <c r="G77" s="9"/>
    </row>
    <row r="78" spans="1:7">
      <c r="A78" s="20" t="s">
        <v>202</v>
      </c>
      <c r="G78" s="9"/>
    </row>
    <row r="79" spans="1:7">
      <c r="A79" s="20" t="s">
        <v>204</v>
      </c>
    </row>
    <row r="80" spans="1:7">
      <c r="A80" s="20" t="s">
        <v>206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214</v>
      </c>
    </row>
    <row r="92" spans="1:1">
      <c r="A92" s="20" t="s">
        <v>216</v>
      </c>
    </row>
    <row r="93" spans="1:1">
      <c r="A93" s="20" t="s">
        <v>218</v>
      </c>
    </row>
    <row r="94" spans="1:1">
      <c r="A94" s="20" t="s">
        <v>220</v>
      </c>
    </row>
    <row r="95" spans="1:1">
      <c r="A95" s="20" t="s">
        <v>222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DE26E7D3-340B-4A8A-8904-BB4F9BB9A7B5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4B9EA-5395-4CD7-8175-D4F867F61ED8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AB4AD-4CFA-488A-9A16-C594BF5F2B32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D6302-259B-4291-9271-83E9A42A73AF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stage7_notcard4shot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2025-04-16T06:38:17Z</dcterms:modified>
</cp:coreProperties>
</file>