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cook-win\STG project\Assets\Setting\Stage7_Normal\"/>
    </mc:Choice>
  </mc:AlternateContent>
  <xr:revisionPtr revIDLastSave="0" documentId="13_ncr:1_{3CE01CBC-6C67-4202-B6A1-783FE6DD4FB5}" xr6:coauthVersionLast="47" xr6:coauthVersionMax="47" xr10:uidLastSave="{00000000-0000-0000-0000-000000000000}"/>
  <bookViews>
    <workbookView xWindow="-120" yWindow="-120" windowWidth="29040" windowHeight="15840" activeTab="6" xr2:uid="{00000000-000D-0000-FFFF-FFFF00000000}"/>
  </bookViews>
  <sheets>
    <sheet name="stage7_5a" sheetId="1" r:id="rId1"/>
    <sheet name="#ALIAS" sheetId="66" r:id="rId2"/>
    <sheet name="#DEFINE" sheetId="67" r:id="rId3"/>
    <sheet name="#OPTION" sheetId="68" r:id="rId4"/>
    <sheet name="#PARAM" sheetId="69" r:id="rId5"/>
    <sheet name="#OUTPUT" sheetId="70" r:id="rId6"/>
    <sheet name="#使用說明" sheetId="71" r:id="rId7"/>
  </sheets>
  <functionGroups builtInGroupCount="19"/>
  <externalReferences>
    <externalReference r:id="rId8"/>
  </externalReferences>
  <definedNames>
    <definedName name="_OPTION_" localSheetId="1">#REF!</definedName>
    <definedName name="_OPTION_" localSheetId="2">#REF!</definedName>
    <definedName name="_OPTION_" localSheetId="3">'#OPTION'!$A$2:$A$98</definedName>
    <definedName name="_OPTION_" localSheetId="5">#REF!</definedName>
    <definedName name="_OPTION_" localSheetId="4">#REF!</definedName>
    <definedName name="_OPTION_" localSheetId="6">#REF!</definedName>
    <definedName name="_OPTION_">#REF!</definedName>
    <definedName name="一般物品">#REF!</definedName>
    <definedName name="無償商城幣">#REF!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5" i="67" l="1"/>
  <c r="E94" i="67"/>
  <c r="E93" i="67"/>
  <c r="E92" i="67"/>
  <c r="E91" i="67"/>
  <c r="E88" i="67"/>
  <c r="E87" i="67"/>
  <c r="E86" i="67"/>
  <c r="E85" i="67"/>
  <c r="E84" i="67"/>
  <c r="E83" i="67"/>
  <c r="E80" i="67"/>
  <c r="E79" i="67"/>
  <c r="E78" i="67"/>
  <c r="E77" i="67"/>
  <c r="E76" i="67"/>
  <c r="E75" i="67"/>
  <c r="E74" i="67"/>
  <c r="E73" i="67"/>
  <c r="E70" i="67"/>
  <c r="E69" i="67"/>
  <c r="E68" i="67"/>
  <c r="E67" i="67"/>
  <c r="E64" i="67"/>
  <c r="E63" i="67"/>
  <c r="E62" i="67"/>
  <c r="E61" i="67"/>
  <c r="E60" i="67"/>
  <c r="E59" i="67"/>
  <c r="E58" i="67"/>
  <c r="E57" i="67"/>
  <c r="E56" i="67"/>
  <c r="E55" i="67"/>
  <c r="E54" i="67"/>
  <c r="E51" i="67"/>
  <c r="E50" i="67"/>
  <c r="E49" i="67"/>
  <c r="E48" i="67"/>
  <c r="E47" i="67"/>
  <c r="E46" i="67"/>
  <c r="E43" i="67"/>
  <c r="E42" i="67"/>
  <c r="E41" i="67"/>
  <c r="E40" i="67"/>
  <c r="E37" i="67"/>
  <c r="E36" i="67"/>
  <c r="E35" i="67"/>
  <c r="E34" i="67"/>
  <c r="E33" i="67"/>
  <c r="E32" i="67"/>
  <c r="E31" i="67"/>
  <c r="E30" i="67"/>
  <c r="E27" i="67"/>
  <c r="E26" i="67"/>
  <c r="E25" i="67"/>
  <c r="E24" i="67"/>
  <c r="E23" i="67"/>
  <c r="E22" i="67"/>
  <c r="E21" i="67"/>
  <c r="E20" i="67"/>
  <c r="E17" i="67"/>
  <c r="E16" i="67"/>
  <c r="E15" i="67"/>
  <c r="E14" i="67"/>
  <c r="E13" i="67"/>
  <c r="E12" i="67"/>
  <c r="E11" i="67"/>
  <c r="E10" i="67"/>
  <c r="E9" i="67"/>
  <c r="E8" i="67"/>
  <c r="E7" i="67"/>
  <c r="E6" i="67"/>
  <c r="E5" i="67"/>
  <c r="E4" i="67"/>
  <c r="E3" i="67"/>
  <c r="E594" i="1" l="1"/>
  <c r="E593" i="1"/>
  <c r="E592" i="1"/>
  <c r="E591" i="1"/>
  <c r="E590" i="1"/>
  <c r="E589" i="1"/>
  <c r="E588" i="1"/>
  <c r="E587" i="1"/>
  <c r="E586" i="1"/>
  <c r="E585" i="1"/>
  <c r="E584" i="1"/>
  <c r="E582" i="1"/>
  <c r="E581" i="1"/>
  <c r="E580" i="1"/>
  <c r="E579" i="1"/>
  <c r="E578" i="1"/>
  <c r="E577" i="1"/>
  <c r="E576" i="1"/>
  <c r="E575" i="1"/>
  <c r="E574" i="1"/>
  <c r="E573" i="1"/>
  <c r="E572" i="1"/>
  <c r="E570" i="1"/>
  <c r="E569" i="1"/>
  <c r="E568" i="1"/>
  <c r="E567" i="1"/>
  <c r="E566" i="1"/>
  <c r="E565" i="1"/>
  <c r="E564" i="1"/>
  <c r="E563" i="1"/>
  <c r="E562" i="1"/>
  <c r="E561" i="1"/>
  <c r="E560" i="1"/>
  <c r="E558" i="1"/>
  <c r="E557" i="1"/>
  <c r="E556" i="1"/>
  <c r="E555" i="1"/>
  <c r="E554" i="1"/>
  <c r="E553" i="1"/>
  <c r="E552" i="1"/>
  <c r="E551" i="1"/>
  <c r="E550" i="1"/>
  <c r="E549" i="1"/>
  <c r="E548" i="1"/>
  <c r="E546" i="1"/>
  <c r="E545" i="1"/>
  <c r="E544" i="1"/>
  <c r="E543" i="1"/>
  <c r="E542" i="1"/>
  <c r="E541" i="1"/>
  <c r="E540" i="1"/>
  <c r="E539" i="1"/>
  <c r="E538" i="1"/>
  <c r="E537" i="1"/>
  <c r="E536" i="1"/>
  <c r="E534" i="1"/>
  <c r="E533" i="1"/>
  <c r="E532" i="1"/>
  <c r="E531" i="1"/>
  <c r="E530" i="1"/>
  <c r="E529" i="1"/>
  <c r="E528" i="1"/>
  <c r="E527" i="1"/>
  <c r="E526" i="1"/>
  <c r="E525" i="1"/>
  <c r="E524" i="1"/>
  <c r="E522" i="1"/>
  <c r="E521" i="1"/>
  <c r="E520" i="1"/>
  <c r="E519" i="1"/>
  <c r="E518" i="1"/>
  <c r="E517" i="1"/>
  <c r="E516" i="1"/>
  <c r="E515" i="1"/>
  <c r="E514" i="1"/>
  <c r="E513" i="1"/>
  <c r="E512" i="1"/>
  <c r="E510" i="1"/>
  <c r="E509" i="1"/>
  <c r="E508" i="1"/>
  <c r="E507" i="1"/>
  <c r="E506" i="1"/>
  <c r="E505" i="1"/>
  <c r="E504" i="1"/>
  <c r="E503" i="1"/>
  <c r="E502" i="1"/>
  <c r="E501" i="1"/>
  <c r="E500" i="1"/>
  <c r="E498" i="1"/>
  <c r="E497" i="1"/>
  <c r="E496" i="1"/>
  <c r="E495" i="1"/>
  <c r="E494" i="1"/>
  <c r="E493" i="1"/>
  <c r="E492" i="1"/>
  <c r="E491" i="1"/>
  <c r="E490" i="1"/>
  <c r="E489" i="1"/>
  <c r="E488" i="1"/>
  <c r="E486" i="1"/>
  <c r="E485" i="1"/>
  <c r="E484" i="1"/>
  <c r="E483" i="1"/>
  <c r="E482" i="1"/>
  <c r="E481" i="1"/>
  <c r="E480" i="1"/>
  <c r="E479" i="1"/>
  <c r="E478" i="1"/>
  <c r="E477" i="1"/>
  <c r="E476" i="1"/>
  <c r="E474" i="1"/>
  <c r="E473" i="1"/>
  <c r="E472" i="1"/>
  <c r="E471" i="1"/>
  <c r="E470" i="1"/>
  <c r="E469" i="1"/>
  <c r="E468" i="1"/>
  <c r="E467" i="1"/>
  <c r="E466" i="1"/>
  <c r="E465" i="1"/>
  <c r="E464" i="1"/>
  <c r="E462" i="1"/>
  <c r="E461" i="1"/>
  <c r="E460" i="1"/>
  <c r="E459" i="1"/>
  <c r="E458" i="1"/>
  <c r="E457" i="1"/>
  <c r="E456" i="1"/>
  <c r="E455" i="1"/>
  <c r="E454" i="1"/>
  <c r="E453" i="1"/>
  <c r="E452" i="1"/>
  <c r="E450" i="1"/>
  <c r="E449" i="1"/>
  <c r="E448" i="1"/>
  <c r="E447" i="1"/>
  <c r="E446" i="1"/>
  <c r="E445" i="1"/>
  <c r="E444" i="1"/>
  <c r="E443" i="1"/>
  <c r="E442" i="1"/>
  <c r="E441" i="1"/>
  <c r="E440" i="1"/>
  <c r="E438" i="1"/>
  <c r="E437" i="1"/>
  <c r="E436" i="1"/>
  <c r="E435" i="1"/>
  <c r="E434" i="1"/>
  <c r="E433" i="1"/>
  <c r="E432" i="1"/>
  <c r="E431" i="1"/>
  <c r="E430" i="1"/>
  <c r="E429" i="1"/>
  <c r="E428" i="1"/>
  <c r="E426" i="1"/>
  <c r="E425" i="1"/>
  <c r="E424" i="1"/>
  <c r="E423" i="1"/>
  <c r="E422" i="1"/>
  <c r="E421" i="1"/>
  <c r="E420" i="1"/>
  <c r="E419" i="1"/>
  <c r="E418" i="1"/>
  <c r="E417" i="1"/>
  <c r="E416" i="1"/>
  <c r="E414" i="1"/>
  <c r="E413" i="1"/>
  <c r="E412" i="1"/>
  <c r="E411" i="1"/>
  <c r="E410" i="1"/>
  <c r="E409" i="1"/>
  <c r="E408" i="1"/>
  <c r="E407" i="1"/>
  <c r="E406" i="1"/>
  <c r="E405" i="1"/>
  <c r="E404" i="1"/>
  <c r="E402" i="1"/>
  <c r="E401" i="1"/>
  <c r="E400" i="1"/>
  <c r="E399" i="1"/>
  <c r="E398" i="1"/>
  <c r="E397" i="1"/>
  <c r="E396" i="1"/>
  <c r="E395" i="1"/>
  <c r="E394" i="1"/>
  <c r="E393" i="1"/>
  <c r="E392" i="1"/>
  <c r="E390" i="1"/>
  <c r="E389" i="1"/>
  <c r="E388" i="1"/>
  <c r="E387" i="1"/>
  <c r="E386" i="1"/>
  <c r="E385" i="1"/>
  <c r="E384" i="1"/>
  <c r="E383" i="1"/>
  <c r="E382" i="1"/>
  <c r="E381" i="1"/>
  <c r="E380" i="1"/>
  <c r="E378" i="1"/>
  <c r="E377" i="1"/>
  <c r="E376" i="1"/>
  <c r="E375" i="1"/>
  <c r="E374" i="1"/>
  <c r="E373" i="1"/>
  <c r="E372" i="1"/>
  <c r="E371" i="1"/>
  <c r="E370" i="1"/>
  <c r="E369" i="1"/>
  <c r="E368" i="1"/>
  <c r="E366" i="1"/>
  <c r="E365" i="1"/>
  <c r="E364" i="1"/>
  <c r="E363" i="1"/>
  <c r="E362" i="1"/>
  <c r="E361" i="1"/>
  <c r="E360" i="1"/>
  <c r="E359" i="1"/>
  <c r="E358" i="1"/>
  <c r="E357" i="1"/>
  <c r="E356" i="1"/>
  <c r="E354" i="1"/>
  <c r="E353" i="1"/>
  <c r="E352" i="1"/>
  <c r="E351" i="1"/>
  <c r="E350" i="1"/>
  <c r="E349" i="1"/>
  <c r="E348" i="1"/>
  <c r="E347" i="1"/>
  <c r="E346" i="1"/>
  <c r="E345" i="1"/>
  <c r="E344" i="1"/>
  <c r="E342" i="1"/>
  <c r="E341" i="1"/>
  <c r="E340" i="1"/>
  <c r="E339" i="1"/>
  <c r="E338" i="1"/>
  <c r="E337" i="1"/>
  <c r="E336" i="1"/>
  <c r="E335" i="1"/>
  <c r="E334" i="1"/>
  <c r="E333" i="1"/>
  <c r="E332" i="1"/>
  <c r="E330" i="1"/>
  <c r="E329" i="1"/>
  <c r="E328" i="1"/>
  <c r="E327" i="1"/>
  <c r="E326" i="1"/>
  <c r="E325" i="1"/>
  <c r="E324" i="1"/>
  <c r="E323" i="1"/>
  <c r="E322" i="1"/>
  <c r="E321" i="1"/>
  <c r="E320" i="1"/>
  <c r="E318" i="1"/>
  <c r="E317" i="1"/>
  <c r="E316" i="1"/>
  <c r="E315" i="1"/>
  <c r="E314" i="1"/>
  <c r="E313" i="1"/>
  <c r="E312" i="1"/>
  <c r="E311" i="1"/>
  <c r="E310" i="1"/>
  <c r="E309" i="1"/>
  <c r="E308" i="1"/>
  <c r="E306" i="1"/>
  <c r="E305" i="1"/>
  <c r="E304" i="1"/>
  <c r="E303" i="1"/>
  <c r="E302" i="1"/>
  <c r="E301" i="1"/>
  <c r="E300" i="1"/>
  <c r="E299" i="1"/>
  <c r="E298" i="1"/>
  <c r="E297" i="1"/>
  <c r="E296" i="1"/>
  <c r="E294" i="1"/>
  <c r="E293" i="1"/>
  <c r="E292" i="1"/>
  <c r="E291" i="1"/>
  <c r="E290" i="1"/>
  <c r="E289" i="1"/>
  <c r="E288" i="1"/>
  <c r="E287" i="1"/>
  <c r="E286" i="1"/>
  <c r="E285" i="1"/>
  <c r="E284" i="1"/>
  <c r="E282" i="1"/>
  <c r="E281" i="1"/>
  <c r="E280" i="1"/>
  <c r="E279" i="1"/>
  <c r="E278" i="1"/>
  <c r="E277" i="1"/>
  <c r="E276" i="1"/>
  <c r="E275" i="1"/>
  <c r="E274" i="1"/>
  <c r="E273" i="1"/>
  <c r="E272" i="1"/>
  <c r="E270" i="1"/>
  <c r="E269" i="1"/>
  <c r="E268" i="1"/>
  <c r="E267" i="1"/>
  <c r="E266" i="1"/>
  <c r="E265" i="1"/>
  <c r="E264" i="1"/>
  <c r="E263" i="1"/>
  <c r="E262" i="1"/>
  <c r="E261" i="1"/>
  <c r="E260" i="1"/>
  <c r="E258" i="1"/>
  <c r="E257" i="1"/>
  <c r="E256" i="1"/>
  <c r="E255" i="1"/>
  <c r="E254" i="1"/>
  <c r="E253" i="1"/>
  <c r="E252" i="1"/>
  <c r="E251" i="1"/>
  <c r="E250" i="1"/>
  <c r="E249" i="1"/>
  <c r="E248" i="1"/>
  <c r="E246" i="1"/>
  <c r="E245" i="1"/>
  <c r="E244" i="1"/>
  <c r="E243" i="1"/>
  <c r="E242" i="1"/>
  <c r="E241" i="1"/>
  <c r="E240" i="1"/>
  <c r="E239" i="1"/>
  <c r="E238" i="1"/>
  <c r="E237" i="1"/>
  <c r="E236" i="1"/>
  <c r="E234" i="1"/>
  <c r="E233" i="1"/>
  <c r="E232" i="1"/>
  <c r="E231" i="1"/>
  <c r="E230" i="1"/>
  <c r="E229" i="1"/>
  <c r="E228" i="1"/>
  <c r="E227" i="1"/>
  <c r="E226" i="1"/>
  <c r="E225" i="1"/>
  <c r="E224" i="1"/>
  <c r="E222" i="1"/>
  <c r="E221" i="1"/>
  <c r="E220" i="1"/>
  <c r="E219" i="1"/>
  <c r="E218" i="1"/>
  <c r="E217" i="1"/>
  <c r="E216" i="1"/>
  <c r="E215" i="1"/>
  <c r="E214" i="1"/>
  <c r="E213" i="1"/>
  <c r="E212" i="1"/>
  <c r="E210" i="1"/>
  <c r="E209" i="1"/>
  <c r="E208" i="1"/>
  <c r="E207" i="1"/>
  <c r="E206" i="1"/>
  <c r="E205" i="1"/>
  <c r="E204" i="1"/>
  <c r="E203" i="1"/>
  <c r="E202" i="1"/>
  <c r="E201" i="1"/>
  <c r="E200" i="1"/>
  <c r="E198" i="1"/>
  <c r="E197" i="1"/>
  <c r="E196" i="1"/>
  <c r="E195" i="1"/>
  <c r="E194" i="1"/>
  <c r="E193" i="1"/>
  <c r="E192" i="1"/>
  <c r="E191" i="1"/>
  <c r="E190" i="1"/>
  <c r="E189" i="1"/>
  <c r="E188" i="1"/>
  <c r="E186" i="1"/>
  <c r="E185" i="1"/>
  <c r="E184" i="1"/>
  <c r="E183" i="1"/>
  <c r="E182" i="1"/>
  <c r="E181" i="1"/>
  <c r="E180" i="1"/>
  <c r="E179" i="1"/>
  <c r="E178" i="1"/>
  <c r="E177" i="1"/>
  <c r="E176" i="1"/>
  <c r="E174" i="1"/>
  <c r="E173" i="1"/>
  <c r="E172" i="1"/>
  <c r="E171" i="1"/>
  <c r="E170" i="1"/>
  <c r="E169" i="1"/>
  <c r="E168" i="1"/>
  <c r="E167" i="1"/>
  <c r="E166" i="1"/>
  <c r="E165" i="1"/>
  <c r="E164" i="1"/>
  <c r="E162" i="1"/>
  <c r="E161" i="1"/>
  <c r="E160" i="1"/>
  <c r="E159" i="1"/>
  <c r="E158" i="1"/>
  <c r="E157" i="1"/>
  <c r="E156" i="1"/>
  <c r="E155" i="1"/>
  <c r="E154" i="1"/>
  <c r="E153" i="1"/>
  <c r="E152" i="1"/>
  <c r="E150" i="1"/>
  <c r="E149" i="1"/>
  <c r="E148" i="1"/>
  <c r="E147" i="1"/>
  <c r="E146" i="1"/>
  <c r="E145" i="1"/>
  <c r="E144" i="1"/>
  <c r="E143" i="1"/>
  <c r="E142" i="1"/>
  <c r="E141" i="1"/>
  <c r="E140" i="1"/>
  <c r="E138" i="1"/>
  <c r="E137" i="1"/>
  <c r="E136" i="1"/>
  <c r="E135" i="1"/>
  <c r="E134" i="1"/>
  <c r="E133" i="1"/>
  <c r="E132" i="1"/>
  <c r="E131" i="1"/>
  <c r="E130" i="1"/>
  <c r="E129" i="1"/>
  <c r="E128" i="1"/>
  <c r="E126" i="1"/>
  <c r="E125" i="1"/>
  <c r="E124" i="1"/>
  <c r="E123" i="1"/>
  <c r="E122" i="1"/>
  <c r="E121" i="1"/>
  <c r="E120" i="1"/>
  <c r="E119" i="1"/>
  <c r="E118" i="1"/>
  <c r="E117" i="1"/>
  <c r="E116" i="1"/>
  <c r="E114" i="1"/>
  <c r="E113" i="1"/>
  <c r="E112" i="1"/>
  <c r="E111" i="1"/>
  <c r="E110" i="1"/>
  <c r="E109" i="1"/>
  <c r="E108" i="1"/>
  <c r="E107" i="1"/>
  <c r="E106" i="1"/>
  <c r="E105" i="1"/>
  <c r="E104" i="1"/>
  <c r="E102" i="1"/>
  <c r="E101" i="1"/>
  <c r="E100" i="1"/>
  <c r="E99" i="1"/>
  <c r="E98" i="1"/>
  <c r="E97" i="1"/>
  <c r="E96" i="1"/>
  <c r="E95" i="1"/>
  <c r="E94" i="1"/>
  <c r="E93" i="1"/>
  <c r="E92" i="1"/>
  <c r="E90" i="1"/>
  <c r="E89" i="1"/>
  <c r="E88" i="1"/>
  <c r="E87" i="1"/>
  <c r="E86" i="1"/>
  <c r="E85" i="1"/>
  <c r="E84" i="1"/>
  <c r="E83" i="1"/>
  <c r="E82" i="1"/>
  <c r="E81" i="1"/>
  <c r="E80" i="1"/>
  <c r="E78" i="1"/>
  <c r="E77" i="1"/>
  <c r="E76" i="1"/>
  <c r="E75" i="1"/>
  <c r="E74" i="1"/>
  <c r="E73" i="1"/>
  <c r="E72" i="1"/>
  <c r="E71" i="1"/>
  <c r="E70" i="1"/>
  <c r="E69" i="1"/>
  <c r="E68" i="1"/>
  <c r="E66" i="1"/>
  <c r="E65" i="1"/>
  <c r="E64" i="1"/>
  <c r="E63" i="1"/>
  <c r="E62" i="1"/>
  <c r="E61" i="1"/>
  <c r="E60" i="1"/>
  <c r="E59" i="1"/>
  <c r="E58" i="1"/>
  <c r="E57" i="1"/>
  <c r="E56" i="1"/>
  <c r="E54" i="1"/>
  <c r="E53" i="1"/>
  <c r="E52" i="1"/>
  <c r="E51" i="1"/>
  <c r="E50" i="1"/>
  <c r="E49" i="1"/>
  <c r="E48" i="1"/>
  <c r="E47" i="1"/>
  <c r="E46" i="1"/>
  <c r="E45" i="1"/>
  <c r="E44" i="1"/>
  <c r="E42" i="1"/>
  <c r="E41" i="1"/>
  <c r="E40" i="1"/>
  <c r="E39" i="1"/>
  <c r="E38" i="1"/>
  <c r="E37" i="1"/>
  <c r="E36" i="1"/>
  <c r="E35" i="1"/>
  <c r="E34" i="1"/>
  <c r="E33" i="1"/>
  <c r="E32" i="1"/>
  <c r="E30" i="1"/>
  <c r="E29" i="1"/>
  <c r="E28" i="1"/>
  <c r="E27" i="1"/>
  <c r="E26" i="1"/>
  <c r="E25" i="1"/>
  <c r="E24" i="1"/>
  <c r="E23" i="1"/>
  <c r="E22" i="1"/>
  <c r="E21" i="1"/>
  <c r="E20" i="1"/>
  <c r="D19" i="1"/>
  <c r="M30" i="1" s="1"/>
  <c r="B19" i="1" l="1"/>
  <c r="D43" i="1"/>
  <c r="M28" i="1"/>
  <c r="M20" i="1"/>
  <c r="D31" i="1"/>
  <c r="D7" i="1"/>
  <c r="M16" i="1" s="1"/>
  <c r="A6" i="1"/>
  <c r="C19" i="1" l="1"/>
  <c r="M22" i="1"/>
  <c r="M54" i="1"/>
  <c r="M44" i="1"/>
  <c r="M52" i="1"/>
  <c r="B43" i="1"/>
  <c r="C43" i="1" s="1"/>
  <c r="M46" i="1"/>
  <c r="D67" i="1"/>
  <c r="D79" i="1"/>
  <c r="D55" i="1"/>
  <c r="M42" i="1"/>
  <c r="M32" i="1"/>
  <c r="M40" i="1"/>
  <c r="B31" i="1"/>
  <c r="C31" i="1" s="1"/>
  <c r="M34" i="1"/>
  <c r="M18" i="1"/>
  <c r="M8" i="1"/>
  <c r="B7" i="1"/>
  <c r="C7" i="1" s="1"/>
  <c r="M78" i="1" l="1"/>
  <c r="M68" i="1"/>
  <c r="M76" i="1"/>
  <c r="B67" i="1"/>
  <c r="M70" i="1" s="1"/>
  <c r="C67" i="1"/>
  <c r="M90" i="1"/>
  <c r="M80" i="1"/>
  <c r="B79" i="1"/>
  <c r="C79" i="1" s="1"/>
  <c r="M88" i="1"/>
  <c r="M66" i="1"/>
  <c r="M56" i="1"/>
  <c r="B55" i="1"/>
  <c r="C55" i="1" s="1"/>
  <c r="M64" i="1"/>
  <c r="M58" i="1"/>
  <c r="D91" i="1"/>
  <c r="M10" i="1"/>
  <c r="E9" i="1"/>
  <c r="E10" i="1"/>
  <c r="E11" i="1"/>
  <c r="E12" i="1"/>
  <c r="E13" i="1"/>
  <c r="E14" i="1"/>
  <c r="E15" i="1"/>
  <c r="E16" i="1"/>
  <c r="E17" i="1"/>
  <c r="E18" i="1"/>
  <c r="E8" i="1"/>
  <c r="M102" i="1" l="1"/>
  <c r="M92" i="1"/>
  <c r="B91" i="1"/>
  <c r="M100" i="1"/>
  <c r="C91" i="1"/>
  <c r="M94" i="1"/>
  <c r="D103" i="1"/>
  <c r="M82" i="1"/>
  <c r="D115" i="1" l="1"/>
  <c r="D127" i="1"/>
  <c r="M114" i="1"/>
  <c r="M104" i="1"/>
  <c r="M112" i="1"/>
  <c r="B103" i="1"/>
  <c r="M106" i="1" s="1"/>
  <c r="C103" i="1"/>
  <c r="M138" i="1" l="1"/>
  <c r="M128" i="1"/>
  <c r="M130" i="1"/>
  <c r="M136" i="1"/>
  <c r="B127" i="1"/>
  <c r="C127" i="1" s="1"/>
  <c r="D139" i="1"/>
  <c r="M126" i="1"/>
  <c r="M116" i="1"/>
  <c r="M124" i="1"/>
  <c r="C115" i="1"/>
  <c r="B115" i="1"/>
  <c r="M118" i="1" s="1"/>
  <c r="D151" i="1"/>
  <c r="M150" i="1" l="1"/>
  <c r="M140" i="1"/>
  <c r="B139" i="1"/>
  <c r="M142" i="1" s="1"/>
  <c r="M148" i="1"/>
  <c r="M162" i="1"/>
  <c r="M152" i="1"/>
  <c r="M160" i="1"/>
  <c r="B151" i="1"/>
  <c r="C151" i="1" s="1"/>
  <c r="D163" i="1"/>
  <c r="M154" i="1" l="1"/>
  <c r="C139" i="1"/>
  <c r="M174" i="1"/>
  <c r="M172" i="1"/>
  <c r="M164" i="1"/>
  <c r="C163" i="1"/>
  <c r="B163" i="1"/>
  <c r="M166" i="1"/>
  <c r="D175" i="1"/>
  <c r="M186" i="1" l="1"/>
  <c r="M176" i="1"/>
  <c r="M184" i="1"/>
  <c r="B175" i="1"/>
  <c r="C175" i="1" s="1"/>
  <c r="D187" i="1"/>
  <c r="M178" i="1" l="1"/>
  <c r="M198" i="1"/>
  <c r="M188" i="1"/>
  <c r="B187" i="1"/>
  <c r="M190" i="1" s="1"/>
  <c r="M196" i="1"/>
  <c r="D199" i="1"/>
  <c r="C187" i="1" l="1"/>
  <c r="M210" i="1"/>
  <c r="M208" i="1"/>
  <c r="M200" i="1"/>
  <c r="C199" i="1"/>
  <c r="M202" i="1"/>
  <c r="B199" i="1"/>
  <c r="D211" i="1"/>
  <c r="M222" i="1" l="1"/>
  <c r="M212" i="1"/>
  <c r="M220" i="1"/>
  <c r="B211" i="1"/>
  <c r="M214" i="1" s="1"/>
  <c r="D223" i="1"/>
  <c r="C211" i="1" l="1"/>
  <c r="M234" i="1"/>
  <c r="M224" i="1"/>
  <c r="M232" i="1"/>
  <c r="B223" i="1"/>
  <c r="M226" i="1" s="1"/>
  <c r="D235" i="1"/>
  <c r="C223" i="1" l="1"/>
  <c r="M246" i="1"/>
  <c r="M244" i="1"/>
  <c r="C235" i="1"/>
  <c r="M236" i="1"/>
  <c r="M238" i="1"/>
  <c r="B235" i="1"/>
  <c r="D247" i="1"/>
  <c r="M258" i="1" l="1"/>
  <c r="M248" i="1"/>
  <c r="M256" i="1"/>
  <c r="B247" i="1"/>
  <c r="M250" i="1" s="1"/>
  <c r="D259" i="1"/>
  <c r="C247" i="1" l="1"/>
  <c r="M270" i="1"/>
  <c r="M268" i="1"/>
  <c r="M260" i="1"/>
  <c r="M262" i="1"/>
  <c r="C259" i="1"/>
  <c r="B259" i="1"/>
  <c r="D271" i="1"/>
  <c r="M282" i="1" l="1"/>
  <c r="M272" i="1"/>
  <c r="B271" i="1"/>
  <c r="M274" i="1" s="1"/>
  <c r="M280" i="1"/>
  <c r="D283" i="1"/>
  <c r="C271" i="1" l="1"/>
  <c r="M294" i="1"/>
  <c r="M284" i="1"/>
  <c r="M292" i="1"/>
  <c r="M286" i="1"/>
  <c r="B283" i="1"/>
  <c r="C283" i="1" s="1"/>
  <c r="D295" i="1"/>
  <c r="M306" i="1" l="1"/>
  <c r="M304" i="1"/>
  <c r="M296" i="1"/>
  <c r="B295" i="1"/>
  <c r="C295" i="1" s="1"/>
  <c r="D307" i="1"/>
  <c r="M298" i="1" l="1"/>
  <c r="M318" i="1"/>
  <c r="M316" i="1"/>
  <c r="M308" i="1"/>
  <c r="M310" i="1"/>
  <c r="C307" i="1"/>
  <c r="B307" i="1"/>
  <c r="D319" i="1"/>
  <c r="M330" i="1" l="1"/>
  <c r="M328" i="1"/>
  <c r="M320" i="1"/>
  <c r="B319" i="1"/>
  <c r="C319" i="1" s="1"/>
  <c r="D331" i="1"/>
  <c r="M322" i="1" l="1"/>
  <c r="M342" i="1"/>
  <c r="M340" i="1"/>
  <c r="M334" i="1"/>
  <c r="M332" i="1"/>
  <c r="C331" i="1"/>
  <c r="B331" i="1"/>
  <c r="D343" i="1"/>
  <c r="M354" i="1" l="1"/>
  <c r="M344" i="1"/>
  <c r="B343" i="1"/>
  <c r="C343" i="1" s="1"/>
  <c r="M352" i="1"/>
  <c r="D355" i="1"/>
  <c r="M346" i="1" l="1"/>
  <c r="M366" i="1"/>
  <c r="M356" i="1"/>
  <c r="M364" i="1"/>
  <c r="M358" i="1"/>
  <c r="C355" i="1"/>
  <c r="B355" i="1"/>
  <c r="D367" i="1"/>
  <c r="M378" i="1" l="1"/>
  <c r="M368" i="1"/>
  <c r="M376" i="1"/>
  <c r="B367" i="1"/>
  <c r="C367" i="1" s="1"/>
  <c r="D379" i="1"/>
  <c r="M370" i="1" l="1"/>
  <c r="M390" i="1"/>
  <c r="M380" i="1"/>
  <c r="B379" i="1"/>
  <c r="C379" i="1" s="1"/>
  <c r="M388" i="1"/>
  <c r="D391" i="1"/>
  <c r="M382" i="1" l="1"/>
  <c r="M402" i="1"/>
  <c r="M392" i="1"/>
  <c r="M400" i="1"/>
  <c r="M394" i="1"/>
  <c r="B391" i="1"/>
  <c r="C391" i="1" s="1"/>
  <c r="D403" i="1"/>
  <c r="M414" i="1" l="1"/>
  <c r="M412" i="1"/>
  <c r="M404" i="1"/>
  <c r="B403" i="1"/>
  <c r="C403" i="1" s="1"/>
  <c r="M406" i="1"/>
  <c r="D415" i="1"/>
  <c r="M426" i="1" l="1"/>
  <c r="M416" i="1"/>
  <c r="B415" i="1"/>
  <c r="C415" i="1" s="1"/>
  <c r="M424" i="1"/>
  <c r="D427" i="1"/>
  <c r="M418" i="1" l="1"/>
  <c r="M438" i="1"/>
  <c r="C427" i="1"/>
  <c r="M428" i="1"/>
  <c r="M436" i="1"/>
  <c r="M430" i="1"/>
  <c r="B427" i="1"/>
  <c r="D439" i="1"/>
  <c r="M450" i="1" l="1"/>
  <c r="M440" i="1"/>
  <c r="M448" i="1"/>
  <c r="B439" i="1"/>
  <c r="C439" i="1" s="1"/>
  <c r="D451" i="1"/>
  <c r="M442" i="1" l="1"/>
  <c r="M462" i="1"/>
  <c r="M452" i="1"/>
  <c r="M460" i="1"/>
  <c r="B451" i="1"/>
  <c r="C451" i="1" s="1"/>
  <c r="D463" i="1"/>
  <c r="M454" i="1" l="1"/>
  <c r="M474" i="1"/>
  <c r="M464" i="1"/>
  <c r="M466" i="1"/>
  <c r="M472" i="1"/>
  <c r="C463" i="1"/>
  <c r="B463" i="1"/>
  <c r="D475" i="1"/>
  <c r="M486" i="1" l="1"/>
  <c r="M476" i="1"/>
  <c r="M484" i="1"/>
  <c r="B475" i="1"/>
  <c r="M478" i="1" s="1"/>
  <c r="D487" i="1"/>
  <c r="C475" i="1" l="1"/>
  <c r="M498" i="1"/>
  <c r="M488" i="1"/>
  <c r="M496" i="1"/>
  <c r="B487" i="1"/>
  <c r="M490" i="1" s="1"/>
  <c r="D499" i="1"/>
  <c r="C487" i="1" l="1"/>
  <c r="M510" i="1"/>
  <c r="M500" i="1"/>
  <c r="M508" i="1"/>
  <c r="M502" i="1"/>
  <c r="C499" i="1"/>
  <c r="B499" i="1"/>
  <c r="D511" i="1"/>
  <c r="M522" i="1" l="1"/>
  <c r="M512" i="1"/>
  <c r="M520" i="1"/>
  <c r="B511" i="1"/>
  <c r="M514" i="1" s="1"/>
  <c r="D523" i="1"/>
  <c r="C511" i="1" l="1"/>
  <c r="M534" i="1"/>
  <c r="M524" i="1"/>
  <c r="M532" i="1"/>
  <c r="C523" i="1"/>
  <c r="M526" i="1"/>
  <c r="B523" i="1"/>
  <c r="D535" i="1"/>
  <c r="M546" i="1" l="1"/>
  <c r="M536" i="1"/>
  <c r="M544" i="1"/>
  <c r="B535" i="1"/>
  <c r="M538" i="1" s="1"/>
  <c r="D547" i="1"/>
  <c r="C535" i="1" l="1"/>
  <c r="M558" i="1"/>
  <c r="M548" i="1"/>
  <c r="M556" i="1"/>
  <c r="M550" i="1"/>
  <c r="C547" i="1"/>
  <c r="B547" i="1"/>
  <c r="D559" i="1"/>
  <c r="M570" i="1" l="1"/>
  <c r="M560" i="1"/>
  <c r="M568" i="1"/>
  <c r="B559" i="1"/>
  <c r="C559" i="1" s="1"/>
  <c r="D571" i="1"/>
  <c r="M562" i="1" l="1"/>
  <c r="M582" i="1"/>
  <c r="M572" i="1"/>
  <c r="M580" i="1"/>
  <c r="M574" i="1"/>
  <c r="C571" i="1"/>
  <c r="B571" i="1"/>
  <c r="D583" i="1"/>
  <c r="M594" i="1" l="1"/>
  <c r="M584" i="1"/>
  <c r="M592" i="1"/>
  <c r="B583" i="1"/>
  <c r="M586" i="1" s="1"/>
  <c r="C583" i="1" l="1"/>
</calcChain>
</file>

<file path=xl/sharedStrings.xml><?xml version="1.0" encoding="utf-8"?>
<sst xmlns="http://schemas.openxmlformats.org/spreadsheetml/2006/main" count="1461" uniqueCount="250">
  <si>
    <t>Author: Overing</t>
    <phoneticPr fontId="2" type="noConversion"/>
  </si>
  <si>
    <t>當標題是</t>
    <phoneticPr fontId="2" type="noConversion"/>
  </si>
  <si>
    <t>且選項值為</t>
    <phoneticPr fontId="2" type="noConversion"/>
  </si>
  <si>
    <t>把後面的標題設定成…</t>
    <phoneticPr fontId="2" type="noConversion"/>
  </si>
  <si>
    <r>
      <t>沒有 '#' 開頭的 Sheet 會被當作輸出 XML 的主要資料來源</t>
    </r>
    <r>
      <rPr>
        <sz val="12"/>
        <rFont val="新細明體"/>
        <family val="1"/>
        <charset val="136"/>
      </rPr>
      <t xml:space="preserve">
Sheet name 會被做為輸出的 Node name           請依需求修改
如果需要自己開空的 Sheet 整理資料使用
請在最前方加上 '#' 符號避開輸出功能</t>
    </r>
    <phoneticPr fontId="2" type="noConversion"/>
  </si>
  <si>
    <r>
      <t>#DEFINE</t>
    </r>
    <r>
      <rPr>
        <sz val="12"/>
        <rFont val="新細明體"/>
        <family val="1"/>
        <charset val="136"/>
      </rPr>
      <t xml:space="preserve"> Sheet 功能
輸出 DEFINE Node 的資料列
Head 列要有值 且 下方任一 Row 有值才會被輸出</t>
    </r>
    <phoneticPr fontId="2" type="noConversion"/>
  </si>
  <si>
    <r>
      <t>#ALIAS</t>
    </r>
    <r>
      <rPr>
        <sz val="12"/>
        <rFont val="新細明體"/>
        <family val="1"/>
        <charset val="136"/>
      </rPr>
      <t xml:space="preserve"> Sheet 功能
輸出後 主要設定 Node 的 Attribute name 對照
主要設定 Sheet 的 Head 只要能在 ALIAS Sheet 的 Row1 被找到
就會輸出 ALIAS Sheet 的 Row2 名稱到 XML
反之 有在主要設定 Sheet 裡但是 ALIAS Sheet 找不到的 Column 就不會被輸出
可以拿來做為只有在表格上看得到的註解列使用</t>
    </r>
    <phoneticPr fontId="2" type="noConversion"/>
  </si>
  <si>
    <r>
      <t>#OPTION</t>
    </r>
    <r>
      <rPr>
        <sz val="12"/>
        <rFont val="新細明體"/>
        <family val="1"/>
        <charset val="136"/>
      </rPr>
      <t xml:space="preserve"> Sheet 功能
主要 Sheet 中需要被做成選項的項目參照
Head 為有選項的選項標題
後續值就是可以選項項目列舉
(被 #PARAM Sheet 設定變更過的 Head 也有用)</t>
    </r>
    <phoneticPr fontId="2" type="noConversion"/>
  </si>
  <si>
    <t>Update Note</t>
    <phoneticPr fontId="2" type="noConversion"/>
  </si>
  <si>
    <t>2015/09/07: 調整載入 Option 方式為設定定義名稱 (解決選項不能超過 255 字 bug)</t>
    <phoneticPr fontId="2" type="noConversion"/>
  </si>
  <si>
    <t>2015/09/10: 調整輸出巨集，改善輸出耗費時間 (減半)</t>
    <phoneticPr fontId="2" type="noConversion"/>
  </si>
  <si>
    <t>輸出路徑或參考檔案</t>
    <phoneticPr fontId="2" type="noConversion"/>
  </si>
  <si>
    <r>
      <t>#OUTPUT</t>
    </r>
    <r>
      <rPr>
        <sz val="12"/>
        <rFont val="新細明體"/>
        <family val="1"/>
        <charset val="136"/>
      </rPr>
      <t xml:space="preserve"> Sheet 功能
與前一版表格功能類似 不過改成可以讀檔或路徑兩者皆可
如果是檔案 就把他開起來讀取裡面的行當 </t>
    </r>
    <r>
      <rPr>
        <sz val="12"/>
        <rFont val="新細明體"/>
        <family val="1"/>
        <charset val="136"/>
      </rPr>
      <t xml:space="preserve">xml </t>
    </r>
    <r>
      <rPr>
        <sz val="12"/>
        <rFont val="新細明體"/>
        <family val="1"/>
        <charset val="136"/>
      </rPr>
      <t>輸出路徑
如果是路徑 就直接往該路徑輸出</t>
    </r>
    <r>
      <rPr>
        <sz val="12"/>
        <rFont val="新細明體"/>
        <family val="1"/>
        <charset val="136"/>
      </rPr>
      <t xml:space="preserve"> xml</t>
    </r>
    <phoneticPr fontId="2" type="noConversion"/>
  </si>
  <si>
    <t>2015/11/03: 調整巨集
 * 輸出再加速 (已經可以跟原本的 xml scheam 版比了)
 * 輸出超過 1000 筆資料量時 Call DoEvents (解決UI卡死 讓人以為當掉的問題)
 * 縮小無法 Undo 的影響範圍
 * 註解掉 HttpPost ReloadSetting 動作</t>
    <phoneticPr fontId="2" type="noConversion"/>
  </si>
  <si>
    <r>
      <t>#PARAM</t>
    </r>
    <r>
      <rPr>
        <sz val="12"/>
        <rFont val="新細明體"/>
        <family val="1"/>
        <charset val="136"/>
      </rPr>
      <t xml:space="preserve"> Sheet 功能
主要 Sheet 中 Head 需要根據選項變化的項目
當 標題 與 其下 Cell 值符合時會替換之後的標題
</t>
    </r>
    <r>
      <rPr>
        <sz val="12"/>
        <color indexed="10"/>
        <rFont val="新細明體"/>
        <family val="1"/>
        <charset val="136"/>
      </rPr>
      <t>需要留下一列 "當沒有選值的時候要指定的標題" 復原原始的標題才能正常輸出</t>
    </r>
    <r>
      <rPr>
        <sz val="12"/>
        <rFont val="新細明體"/>
        <family val="1"/>
        <charset val="136"/>
      </rPr>
      <t xml:space="preserve">
(需要注意重疊問題 請慎用 不然會無限迴圈XD)</t>
    </r>
    <phoneticPr fontId="2" type="noConversion"/>
  </si>
  <si>
    <t>2015/11/04: 修改說明注意事項</t>
    <phoneticPr fontId="2" type="noConversion"/>
  </si>
  <si>
    <t>Version: 2019/09/17</t>
    <phoneticPr fontId="2" type="noConversion"/>
  </si>
  <si>
    <t>輸出到XML時取代成…</t>
    <phoneticPr fontId="2" type="noConversion"/>
  </si>
  <si>
    <t>且值為</t>
    <phoneticPr fontId="2" type="noConversion"/>
  </si>
  <si>
    <t>2019/09/17:
* 支援複數同前綴欄位使用 "[]" 尾綴定義 #ALIAS Sheet 將值輸出到子節點 (方便程式碼使用陣列載入)
* 支援複數同前綴欄位使用 "[]" 尾綴定義 #OPTION Sheet 一次定義所有選項下拉選單
* 支援複數同前綴欄位使用 "[]" 尾綴定義 #PARAM Sheet 一次定義所有標題置換規則
* 新增 #DEFINE Sheet 做輸出值轉換</t>
    <phoneticPr fontId="2" type="noConversion"/>
  </si>
  <si>
    <t>/</t>
    <phoneticPr fontId="2" type="noConversion"/>
  </si>
  <si>
    <t>1</t>
    <phoneticPr fontId="2" type="noConversion"/>
  </si>
  <si>
    <t>4</t>
  </si>
  <si>
    <t>5</t>
  </si>
  <si>
    <t>6</t>
    <phoneticPr fontId="2" type="noConversion"/>
  </si>
  <si>
    <t>2</t>
    <phoneticPr fontId="2" type="noConversion"/>
  </si>
  <si>
    <t>3</t>
    <phoneticPr fontId="2" type="noConversion"/>
  </si>
  <si>
    <t>類型</t>
    <phoneticPr fontId="2" type="noConversion"/>
  </si>
  <si>
    <t>Type</t>
    <phoneticPr fontId="2" type="noConversion"/>
  </si>
  <si>
    <t>物件</t>
  </si>
  <si>
    <t>速度</t>
  </si>
  <si>
    <t>移動角度</t>
  </si>
  <si>
    <t>6</t>
  </si>
  <si>
    <t>8</t>
  </si>
  <si>
    <t>10</t>
  </si>
  <si>
    <t>行動時間</t>
  </si>
  <si>
    <t>ParamVals[]</t>
    <phoneticPr fontId="2" type="noConversion"/>
  </si>
  <si>
    <t>2</t>
  </si>
  <si>
    <t>3</t>
  </si>
  <si>
    <t>7</t>
  </si>
  <si>
    <t>9</t>
  </si>
  <si>
    <t>11</t>
  </si>
  <si>
    <t>12</t>
  </si>
  <si>
    <t>13</t>
  </si>
  <si>
    <t>14</t>
  </si>
  <si>
    <t>符卡</t>
  </si>
  <si>
    <t>HP</t>
  </si>
  <si>
    <t>無敵</t>
  </si>
  <si>
    <t>BOSS</t>
  </si>
  <si>
    <t>順序</t>
    <phoneticPr fontId="2" type="noConversion"/>
  </si>
  <si>
    <t>Order</t>
    <phoneticPr fontId="2" type="noConversion"/>
  </si>
  <si>
    <t>ParamVals2</t>
  </si>
  <si>
    <t>ParamVals3</t>
  </si>
  <si>
    <t>ParamVals4</t>
  </si>
  <si>
    <t>ParamVals5</t>
  </si>
  <si>
    <t>ParamVals6</t>
  </si>
  <si>
    <t>ParamVals7</t>
  </si>
  <si>
    <t>ParamVals8</t>
  </si>
  <si>
    <t>ParamVals9</t>
  </si>
  <si>
    <t>ParamVals10</t>
  </si>
  <si>
    <t>ParamVals11</t>
  </si>
  <si>
    <t>ParamVals12</t>
  </si>
  <si>
    <t>ParamVals13</t>
  </si>
  <si>
    <t>ParamVals14</t>
  </si>
  <si>
    <t>ParamVals15</t>
  </si>
  <si>
    <t>ParamVals16</t>
  </si>
  <si>
    <t>ParamVals17</t>
  </si>
  <si>
    <t>ParamVals18</t>
  </si>
  <si>
    <t>ParamVals19</t>
  </si>
  <si>
    <t>ParamVals20</t>
  </si>
  <si>
    <t>ParamVals21</t>
  </si>
  <si>
    <t>ParamVals22</t>
  </si>
  <si>
    <t>ParamVals23</t>
  </si>
  <si>
    <t>ParamVals24</t>
  </si>
  <si>
    <t>ParamVals25</t>
  </si>
  <si>
    <t>ParamVals26</t>
  </si>
  <si>
    <t>ParamVals27</t>
  </si>
  <si>
    <t>ParamVals28</t>
  </si>
  <si>
    <t>ParamVals29</t>
  </si>
  <si>
    <t>ParamVals30</t>
  </si>
  <si>
    <t>ParamVals31</t>
  </si>
  <si>
    <t>ParamVals32</t>
  </si>
  <si>
    <t>ParamVals33</t>
  </si>
  <si>
    <t>ParamVals34</t>
  </si>
  <si>
    <t>ParamVals35</t>
  </si>
  <si>
    <t>ParamVals36</t>
  </si>
  <si>
    <t>ParamVals37</t>
  </si>
  <si>
    <t>ParamVals38</t>
  </si>
  <si>
    <t>ParamVals39</t>
  </si>
  <si>
    <t>ParamVals40</t>
  </si>
  <si>
    <t>ParamVals41</t>
  </si>
  <si>
    <t>ParamVals42</t>
  </si>
  <si>
    <t>ParamVals43</t>
  </si>
  <si>
    <t>ID</t>
  </si>
  <si>
    <t>ParamVals0</t>
    <phoneticPr fontId="2" type="noConversion"/>
  </si>
  <si>
    <t>ParamVals1</t>
  </si>
  <si>
    <t>4</t>
    <phoneticPr fontId="2" type="noConversion"/>
  </si>
  <si>
    <t>回收時間</t>
  </si>
  <si>
    <t>移位置</t>
  </si>
  <si>
    <t>玩家</t>
  </si>
  <si>
    <t>動畫</t>
  </si>
  <si>
    <t>行動ID</t>
  </si>
  <si>
    <t>玩家子彈</t>
  </si>
  <si>
    <t>標題</t>
  </si>
  <si>
    <t>對話</t>
  </si>
  <si>
    <t>傷害</t>
  </si>
  <si>
    <t>Name</t>
  </si>
  <si>
    <t>死亡時間</t>
  </si>
  <si>
    <t>最小速度</t>
  </si>
  <si>
    <t>最大速度</t>
  </si>
  <si>
    <t>BOSSDEAD</t>
  </si>
  <si>
    <t>加移動角度</t>
  </si>
  <si>
    <t>旋轉角度</t>
  </si>
  <si>
    <t>加旋轉角度</t>
  </si>
  <si>
    <t>旋轉是移動角度</t>
  </si>
  <si>
    <t>加速度</t>
  </si>
  <si>
    <t>相對位置</t>
  </si>
  <si>
    <t>貫穿</t>
  </si>
  <si>
    <t>Sprite</t>
  </si>
  <si>
    <t>時位時間</t>
  </si>
  <si>
    <t>時位位置</t>
  </si>
  <si>
    <t>時位變速點</t>
  </si>
  <si>
    <t>時位開始速度</t>
  </si>
  <si>
    <t>時位結束速度</t>
  </si>
  <si>
    <t>時位移動角度</t>
  </si>
  <si>
    <t>回收距離</t>
  </si>
  <si>
    <t>啟動依開始時間後</t>
  </si>
  <si>
    <t>啟動依結束時間前</t>
  </si>
  <si>
    <t>啟動依位置</t>
  </si>
  <si>
    <t>啟動依位置距離</t>
  </si>
  <si>
    <t>播放音樂</t>
  </si>
  <si>
    <t>關卡結束</t>
  </si>
  <si>
    <t>角度參數</t>
  </si>
  <si>
    <t>位置參數</t>
  </si>
  <si>
    <t>角度值</t>
  </si>
  <si>
    <t>角度IDs</t>
  </si>
  <si>
    <t>位置xy</t>
  </si>
  <si>
    <t>位置ID</t>
  </si>
  <si>
    <t>位置Gene</t>
  </si>
  <si>
    <t>PosParamType</t>
  </si>
  <si>
    <t>PosParamType</t>
    <phoneticPr fontId="2" type="noConversion"/>
  </si>
  <si>
    <t>AngleParamType</t>
    <phoneticPr fontId="2" type="noConversion"/>
  </si>
  <si>
    <t>新參照位置12</t>
    <phoneticPr fontId="2" type="noConversion"/>
  </si>
  <si>
    <t>加角度</t>
  </si>
  <si>
    <t>啟動依ID</t>
  </si>
  <si>
    <t>ID</t>
    <phoneticPr fontId="2" type="noConversion"/>
  </si>
  <si>
    <t>復位</t>
  </si>
  <si>
    <t>Power</t>
  </si>
  <si>
    <t>下一關</t>
  </si>
  <si>
    <t>101</t>
    <phoneticPr fontId="2" type="noConversion"/>
  </si>
  <si>
    <t>啟動依遊戲時間</t>
  </si>
  <si>
    <t>102</t>
  </si>
  <si>
    <t>103</t>
  </si>
  <si>
    <t>104</t>
  </si>
  <si>
    <t>105</t>
  </si>
  <si>
    <t>106</t>
  </si>
  <si>
    <t>啟動依玩家死亡</t>
  </si>
  <si>
    <t>107</t>
  </si>
  <si>
    <t>啟動位置是活動</t>
  </si>
  <si>
    <t>108</t>
  </si>
  <si>
    <t>201</t>
    <phoneticPr fontId="2" type="noConversion"/>
  </si>
  <si>
    <t>202</t>
  </si>
  <si>
    <t>203</t>
  </si>
  <si>
    <t>204</t>
  </si>
  <si>
    <t>205</t>
  </si>
  <si>
    <t>206</t>
  </si>
  <si>
    <t>Power掉落</t>
  </si>
  <si>
    <t>207</t>
  </si>
  <si>
    <t>加ID</t>
  </si>
  <si>
    <t>208</t>
  </si>
  <si>
    <t>301</t>
    <phoneticPr fontId="2" type="noConversion"/>
  </si>
  <si>
    <t>302</t>
  </si>
  <si>
    <t>303</t>
  </si>
  <si>
    <t>401</t>
    <phoneticPr fontId="2" type="noConversion"/>
  </si>
  <si>
    <t>402</t>
  </si>
  <si>
    <t>403</t>
  </si>
  <si>
    <t>加位置</t>
  </si>
  <si>
    <t>404</t>
  </si>
  <si>
    <t>501</t>
    <phoneticPr fontId="2" type="noConversion"/>
  </si>
  <si>
    <t>502</t>
  </si>
  <si>
    <t>503</t>
  </si>
  <si>
    <t>504</t>
  </si>
  <si>
    <t>505</t>
  </si>
  <si>
    <t>506</t>
  </si>
  <si>
    <t>507</t>
  </si>
  <si>
    <t>601</t>
    <phoneticPr fontId="2" type="noConversion"/>
  </si>
  <si>
    <t>602</t>
  </si>
  <si>
    <t>603</t>
  </si>
  <si>
    <t>604</t>
  </si>
  <si>
    <t>是界內</t>
  </si>
  <si>
    <t>701</t>
    <phoneticPr fontId="2" type="noConversion"/>
  </si>
  <si>
    <t>702</t>
  </si>
  <si>
    <t>703</t>
  </si>
  <si>
    <t>704</t>
  </si>
  <si>
    <t>出生動畫速率</t>
  </si>
  <si>
    <t>705</t>
  </si>
  <si>
    <t>出生動畫時間</t>
  </si>
  <si>
    <t>706</t>
  </si>
  <si>
    <t>出生動畫開始</t>
  </si>
  <si>
    <t>707</t>
  </si>
  <si>
    <t>行動ID結束</t>
  </si>
  <si>
    <t>708</t>
  </si>
  <si>
    <t>801</t>
    <phoneticPr fontId="2" type="noConversion"/>
  </si>
  <si>
    <t>802</t>
  </si>
  <si>
    <t>803</t>
  </si>
  <si>
    <t>804</t>
  </si>
  <si>
    <t>805</t>
  </si>
  <si>
    <t>806</t>
  </si>
  <si>
    <t>玩家遊戲時間</t>
  </si>
  <si>
    <t>901</t>
    <phoneticPr fontId="2" type="noConversion"/>
  </si>
  <si>
    <t>玩家子彈間隔</t>
  </si>
  <si>
    <t>902</t>
  </si>
  <si>
    <t>玩家Power需求</t>
  </si>
  <si>
    <t>903</t>
  </si>
  <si>
    <t>玩家Shift</t>
  </si>
  <si>
    <t>904</t>
  </si>
  <si>
    <t>玩家子彈延遲</t>
  </si>
  <si>
    <t>905</t>
  </si>
  <si>
    <t>位置參數角距距離</t>
  </si>
  <si>
    <t>位置參數角距角度</t>
  </si>
  <si>
    <t>新參照位置</t>
  </si>
  <si>
    <t>新參照角度</t>
  </si>
  <si>
    <t>角度ID旋轉</t>
  </si>
  <si>
    <t>Self = 1,
Parent = 2,
Player = 3,
Boss = 4,
Center=5,
BossHome=6,</t>
    <phoneticPr fontId="2" type="noConversion"/>
  </si>
  <si>
    <t>新參照位置12</t>
  </si>
  <si>
    <t>符卡時間</t>
    <phoneticPr fontId="2" type="noConversion"/>
  </si>
  <si>
    <t>304</t>
  </si>
  <si>
    <t/>
  </si>
  <si>
    <t>7</t>
    <phoneticPr fontId="2" type="noConversion"/>
  </si>
  <si>
    <t>EnemyShot2</t>
  </si>
  <si>
    <t>Shot2_purple</t>
  </si>
  <si>
    <t>1,3</t>
  </si>
  <si>
    <t>10</t>
    <phoneticPr fontId="2" type="noConversion"/>
  </si>
  <si>
    <t>BOSSLEAVE</t>
    <phoneticPr fontId="2" type="noConversion"/>
  </si>
  <si>
    <t>15</t>
  </si>
  <si>
    <t>子旋轉角度</t>
    <phoneticPr fontId="2" type="noConversion"/>
  </si>
  <si>
    <t>508</t>
  </si>
  <si>
    <r>
      <rPr>
        <sz val="11"/>
        <rFont val="Microsoft JhengHei UI"/>
        <family val="3"/>
        <charset val="136"/>
      </rPr>
      <t>子</t>
    </r>
    <r>
      <rPr>
        <sz val="11"/>
        <rFont val="微軟正黑體"/>
        <family val="3"/>
        <charset val="136"/>
      </rPr>
      <t>加旋轉角度</t>
    </r>
    <phoneticPr fontId="2" type="noConversion"/>
  </si>
  <si>
    <t>509</t>
  </si>
  <si>
    <t>加旋轉角度</t>
    <phoneticPr fontId="2" type="noConversion"/>
  </si>
  <si>
    <t>記錄位置</t>
    <phoneticPr fontId="2" type="noConversion"/>
  </si>
  <si>
    <t>405</t>
  </si>
  <si>
    <t>記錄位置序號</t>
    <phoneticPr fontId="2" type="noConversion"/>
  </si>
  <si>
    <t>406</t>
  </si>
  <si>
    <t>記錄角度</t>
    <phoneticPr fontId="2" type="noConversion"/>
  </si>
  <si>
    <t>510</t>
  </si>
  <si>
    <t>511</t>
  </si>
  <si>
    <t>記錄角度ID</t>
    <phoneticPr fontId="2" type="noConversion"/>
  </si>
  <si>
    <t>角度ID記錄</t>
    <phoneticPr fontId="2" type="noConversion"/>
  </si>
  <si>
    <t>記錄位置ID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</si>
</sst>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37">
    <font>
      <sz val="12"/>
      <name val="新細明體"/>
      <family val="1"/>
      <charset val="136"/>
    </font>
    <font>
      <sz val="12"/>
      <name val="新細明體"/>
      <family val="1"/>
      <charset val="136"/>
    </font>
    <font>
      <sz val="9"/>
      <name val="新細明體"/>
      <family val="1"/>
      <charset val="136"/>
    </font>
    <font>
      <sz val="12"/>
      <color indexed="8"/>
      <name val="新細明體"/>
      <family val="1"/>
      <charset val="136"/>
    </font>
    <font>
      <sz val="12"/>
      <color indexed="9"/>
      <name val="新細明體"/>
      <family val="1"/>
      <charset val="136"/>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sz val="11"/>
      <color indexed="8"/>
      <name val="ＭＳ Ｐゴシック"/>
      <family val="2"/>
      <charset val="128"/>
    </font>
    <font>
      <sz val="11"/>
      <color indexed="8"/>
      <name val="新細明體"/>
      <family val="1"/>
      <charset val="136"/>
    </font>
    <font>
      <sz val="12"/>
      <name val="微軟正黑體"/>
      <family val="2"/>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2"/>
      <name val="新細明體"/>
      <family val="1"/>
      <charset val="136"/>
    </font>
    <font>
      <b/>
      <sz val="12"/>
      <color theme="0"/>
      <name val="新細明體"/>
      <family val="1"/>
      <charset val="136"/>
    </font>
    <font>
      <sz val="14"/>
      <name val="細明體"/>
      <family val="1"/>
      <charset val="136"/>
    </font>
    <font>
      <sz val="12"/>
      <color theme="0"/>
      <name val="新細明體"/>
      <family val="1"/>
      <charset val="136"/>
    </font>
    <font>
      <sz val="11"/>
      <color rgb="FFCCCCCC"/>
      <name val="Consolas"/>
      <family val="3"/>
    </font>
    <font>
      <sz val="11"/>
      <color rgb="FF4FC1FF"/>
      <name val="Consolas"/>
      <family val="3"/>
    </font>
    <font>
      <sz val="14"/>
      <color theme="0"/>
      <name val="細明體"/>
      <family val="1"/>
      <charset val="136"/>
    </font>
    <font>
      <sz val="12"/>
      <name val="Microsoft JhengHei"/>
      <family val="1"/>
      <charset val="136"/>
    </font>
    <font>
      <sz val="11"/>
      <name val="Consolas"/>
      <family val="3"/>
    </font>
    <font>
      <sz val="10"/>
      <name val="新細明體"/>
      <family val="1"/>
      <charset val="136"/>
    </font>
    <font>
      <sz val="11"/>
      <name val="Microsoft JhengHei"/>
      <family val="3"/>
    </font>
    <font>
      <sz val="11"/>
      <name val="微軟正黑體"/>
      <family val="3"/>
      <charset val="136"/>
    </font>
    <font>
      <sz val="11"/>
      <name val="Microsoft JhengHei UI"/>
      <family val="3"/>
      <charset val="136"/>
    </font>
    <font>
      <sz val="11"/>
      <name val="微軟正黑體"/>
      <family val="2"/>
      <charset val="136"/>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2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1"/>
        <bgColor indexed="64"/>
      </patternFill>
    </fill>
    <fill>
      <patternFill patternType="solid">
        <fgColor rgb="FF7030A0"/>
        <bgColor indexed="64"/>
      </patternFill>
    </fill>
    <fill>
      <patternFill patternType="solid">
        <fgColor theme="6" tint="0.79998168889431442"/>
        <bgColor indexed="64"/>
      </patternFill>
    </fill>
  </fills>
  <borders count="10">
    <border>
      <left/>
      <right/>
      <top/>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s>
  <cellStyleXfs count="64">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5" fillId="16" borderId="0" applyNumberFormat="0" applyBorder="0" applyAlignment="0" applyProtection="0">
      <alignment vertical="center"/>
    </xf>
    <xf numFmtId="0" fontId="6" fillId="0" borderId="1" applyNumberFormat="0" applyFill="0" applyAlignment="0" applyProtection="0">
      <alignment vertical="center"/>
    </xf>
    <xf numFmtId="0" fontId="7" fillId="4" borderId="0" applyNumberFormat="0" applyBorder="0" applyAlignment="0" applyProtection="0">
      <alignment vertical="center"/>
    </xf>
    <xf numFmtId="0" fontId="8" fillId="17" borderId="2" applyNumberFormat="0" applyAlignment="0" applyProtection="0">
      <alignment vertical="center"/>
    </xf>
    <xf numFmtId="0" fontId="9" fillId="0" borderId="3" applyNumberFormat="0" applyFill="0" applyAlignment="0" applyProtection="0">
      <alignment vertical="center"/>
    </xf>
    <xf numFmtId="0" fontId="1" fillId="18" borderId="4" applyNumberFormat="0" applyFont="0" applyAlignment="0" applyProtection="0">
      <alignment vertical="center"/>
    </xf>
    <xf numFmtId="0" fontId="10" fillId="0" borderId="0" applyNumberFormat="0" applyFill="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22"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0" fontId="13" fillId="0" borderId="0">
      <alignment vertical="center"/>
    </xf>
    <xf numFmtId="0" fontId="13" fillId="0" borderId="0">
      <alignment vertical="center"/>
    </xf>
    <xf numFmtId="0" fontId="1"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 fillId="0" borderId="0"/>
    <xf numFmtId="0" fontId="1" fillId="0" borderId="0"/>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7" borderId="2" applyNumberFormat="0" applyAlignment="0" applyProtection="0">
      <alignment vertical="center"/>
    </xf>
    <xf numFmtId="0" fontId="19" fillId="17" borderId="8" applyNumberFormat="0" applyAlignment="0" applyProtection="0">
      <alignment vertical="center"/>
    </xf>
    <xf numFmtId="0" fontId="20" fillId="23" borderId="9" applyNumberFormat="0" applyAlignment="0" applyProtection="0">
      <alignment vertical="center"/>
    </xf>
    <xf numFmtId="0" fontId="21" fillId="3" borderId="0" applyNumberFormat="0" applyBorder="0" applyAlignment="0" applyProtection="0">
      <alignment vertical="center"/>
    </xf>
    <xf numFmtId="0" fontId="22" fillId="0" borderId="0" applyNumberFormat="0" applyFill="0" applyBorder="0" applyAlignment="0" applyProtection="0">
      <alignment vertical="center"/>
    </xf>
  </cellStyleXfs>
  <cellXfs count="29">
    <xf numFmtId="0" fontId="0" fillId="0" borderId="0" xfId="0">
      <alignment vertical="center"/>
    </xf>
    <xf numFmtId="0" fontId="23" fillId="0" borderId="0" xfId="0" applyFont="1">
      <alignment vertical="center"/>
    </xf>
    <xf numFmtId="0" fontId="0" fillId="0" borderId="0" xfId="0" applyAlignment="1">
      <alignment vertical="center" wrapText="1"/>
    </xf>
    <xf numFmtId="0" fontId="23" fillId="0" borderId="0" xfId="0" applyFont="1" applyAlignment="1">
      <alignment vertical="center" wrapText="1"/>
    </xf>
    <xf numFmtId="0" fontId="0" fillId="0" borderId="0" xfId="0" applyAlignment="1">
      <alignment horizontal="center" vertical="center"/>
    </xf>
    <xf numFmtId="0" fontId="24" fillId="24" borderId="0" xfId="0" applyFont="1" applyFill="1" applyAlignment="1">
      <alignment horizontal="center" vertical="center"/>
    </xf>
    <xf numFmtId="49" fontId="24" fillId="24" borderId="0" xfId="0" applyNumberFormat="1" applyFont="1" applyFill="1" applyAlignment="1">
      <alignment horizontal="center" vertical="center"/>
    </xf>
    <xf numFmtId="49" fontId="0" fillId="0" borderId="0" xfId="0" applyNumberFormat="1">
      <alignment vertical="center"/>
    </xf>
    <xf numFmtId="49" fontId="24" fillId="24" borderId="0" xfId="0" applyNumberFormat="1" applyFont="1" applyFill="1">
      <alignment vertical="center"/>
    </xf>
    <xf numFmtId="49" fontId="0" fillId="0" borderId="0" xfId="0" applyNumberFormat="1" applyAlignment="1">
      <alignment horizontal="center" vertical="center"/>
    </xf>
    <xf numFmtId="0" fontId="28" fillId="0" borderId="0" xfId="0" applyFont="1">
      <alignment vertical="center"/>
    </xf>
    <xf numFmtId="0" fontId="27" fillId="0" borderId="0" xfId="0" applyFont="1">
      <alignment vertical="center"/>
    </xf>
    <xf numFmtId="49" fontId="25" fillId="0" borderId="0" xfId="0" applyNumberFormat="1" applyFont="1" applyAlignment="1">
      <alignment horizontal="center" vertical="center"/>
    </xf>
    <xf numFmtId="49" fontId="26" fillId="25" borderId="0" xfId="0" applyNumberFormat="1" applyFont="1" applyFill="1" applyAlignment="1">
      <alignment horizontal="center" vertical="center"/>
    </xf>
    <xf numFmtId="49" fontId="0" fillId="26" borderId="0" xfId="0" applyNumberFormat="1" applyFill="1" applyAlignment="1">
      <alignment horizontal="center" vertical="center"/>
    </xf>
    <xf numFmtId="49" fontId="25" fillId="0" borderId="0" xfId="0" applyNumberFormat="1" applyFont="1" applyAlignment="1">
      <alignment horizontal="left" vertical="center"/>
    </xf>
    <xf numFmtId="49" fontId="0" fillId="0" borderId="0" xfId="0" applyNumberFormat="1" applyAlignment="1">
      <alignment horizontal="left" vertical="center"/>
    </xf>
    <xf numFmtId="49" fontId="29" fillId="24" borderId="0" xfId="0" applyNumberFormat="1" applyFont="1" applyFill="1" applyAlignment="1">
      <alignment horizontal="left" vertical="center"/>
    </xf>
    <xf numFmtId="0" fontId="30" fillId="0" borderId="0" xfId="0" applyFont="1" applyAlignment="1">
      <alignment horizontal="center" vertical="center"/>
    </xf>
    <xf numFmtId="49" fontId="26" fillId="24" borderId="0" xfId="0" applyNumberFormat="1" applyFont="1" applyFill="1" applyAlignment="1">
      <alignment horizontal="center" vertical="center"/>
    </xf>
    <xf numFmtId="0" fontId="31" fillId="0" borderId="0" xfId="0" applyFont="1">
      <alignment vertical="center"/>
    </xf>
    <xf numFmtId="176" fontId="29" fillId="24" borderId="0" xfId="0" applyNumberFormat="1" applyFont="1" applyFill="1" applyAlignment="1">
      <alignment horizontal="left" vertical="center"/>
    </xf>
    <xf numFmtId="176" fontId="0" fillId="0" borderId="0" xfId="0" applyNumberFormat="1" applyAlignment="1">
      <alignment horizontal="center" vertical="center"/>
    </xf>
    <xf numFmtId="1" fontId="0" fillId="0" borderId="0" xfId="0" applyNumberFormat="1" applyAlignment="1">
      <alignment horizontal="center" vertical="center"/>
    </xf>
    <xf numFmtId="0" fontId="32" fillId="0" borderId="0" xfId="0" applyFont="1" applyAlignment="1">
      <alignment horizontal="center" vertical="center" wrapText="1"/>
    </xf>
    <xf numFmtId="177" fontId="0" fillId="0" borderId="0" xfId="0" applyNumberFormat="1" applyAlignment="1">
      <alignment horizontal="center" vertical="center"/>
    </xf>
    <xf numFmtId="0" fontId="33" fillId="0" borderId="0" xfId="0" applyFont="1">
      <alignment vertical="center"/>
    </xf>
    <xf numFmtId="0" fontId="34" fillId="0" borderId="0" xfId="0" applyFont="1">
      <alignment vertical="center"/>
    </xf>
    <xf numFmtId="0" fontId="36" fillId="0" borderId="0" xfId="0" applyFont="1">
      <alignment vertical="center"/>
    </xf>
  </cellXfs>
  <cellStyles count="64">
    <cellStyle name="20% - 輔色1" xfId="1" builtinId="30" customBuiltin="1"/>
    <cellStyle name="20% - 輔色2" xfId="2" builtinId="34" customBuiltin="1"/>
    <cellStyle name="20% - 輔色3" xfId="3" builtinId="38" customBuiltin="1"/>
    <cellStyle name="20% - 輔色4" xfId="4" builtinId="42" customBuiltin="1"/>
    <cellStyle name="20% - 輔色5" xfId="5" builtinId="46" customBuiltin="1"/>
    <cellStyle name="20% - 輔色6" xfId="6" builtinId="50" customBuiltin="1"/>
    <cellStyle name="40% - 輔色1" xfId="7" builtinId="31" customBuiltin="1"/>
    <cellStyle name="40% - 輔色2" xfId="8" builtinId="35" customBuiltin="1"/>
    <cellStyle name="40% - 輔色3" xfId="9" builtinId="39" customBuiltin="1"/>
    <cellStyle name="40% - 輔色4" xfId="10" builtinId="43" customBuiltin="1"/>
    <cellStyle name="40% - 輔色5" xfId="11" builtinId="47" customBuiltin="1"/>
    <cellStyle name="40% - 輔色6" xfId="12" builtinId="51" customBuiltin="1"/>
    <cellStyle name="60% - 輔色1" xfId="13" builtinId="32" customBuiltin="1"/>
    <cellStyle name="60% - 輔色2" xfId="14" builtinId="36" customBuiltin="1"/>
    <cellStyle name="60% - 輔色3" xfId="15" builtinId="40" customBuiltin="1"/>
    <cellStyle name="60% - 輔色4" xfId="16" builtinId="44" customBuiltin="1"/>
    <cellStyle name="60% - 輔色5" xfId="17" builtinId="48" customBuiltin="1"/>
    <cellStyle name="60% - 輔色6" xfId="18" builtinId="52" customBuiltin="1"/>
    <cellStyle name="一般" xfId="0" builtinId="0"/>
    <cellStyle name="中等" xfId="19" builtinId="28" customBuiltin="1"/>
    <cellStyle name="合計" xfId="20" builtinId="25" customBuiltin="1"/>
    <cellStyle name="好" xfId="21" builtinId="26" customBuiltin="1"/>
    <cellStyle name="計算方式" xfId="22" builtinId="22" customBuiltin="1"/>
    <cellStyle name="連結的儲存格" xfId="23" builtinId="24" customBuiltin="1"/>
    <cellStyle name="備註" xfId="24" builtinId="10" customBuiltin="1"/>
    <cellStyle name="說明文字" xfId="25" builtinId="53" customBuiltin="1"/>
    <cellStyle name="輔色1" xfId="26" builtinId="29" customBuiltin="1"/>
    <cellStyle name="輔色2" xfId="27" builtinId="33" customBuiltin="1"/>
    <cellStyle name="輔色3" xfId="28" builtinId="37" customBuiltin="1"/>
    <cellStyle name="輔色4" xfId="29" builtinId="41" customBuiltin="1"/>
    <cellStyle name="輔色5" xfId="30" builtinId="45" customBuiltin="1"/>
    <cellStyle name="輔色6" xfId="31" builtinId="49" customBuiltin="1"/>
    <cellStyle name="標準 10" xfId="32" xr:uid="{00000000-0005-0000-0000-000021000000}"/>
    <cellStyle name="標準 11" xfId="33" xr:uid="{00000000-0005-0000-0000-000022000000}"/>
    <cellStyle name="標準 12" xfId="34" xr:uid="{00000000-0005-0000-0000-000023000000}"/>
    <cellStyle name="標準 13" xfId="35" xr:uid="{00000000-0005-0000-0000-000024000000}"/>
    <cellStyle name="標準 14" xfId="36" xr:uid="{00000000-0005-0000-0000-000025000000}"/>
    <cellStyle name="標準 19" xfId="37" xr:uid="{00000000-0005-0000-0000-000026000000}"/>
    <cellStyle name="標準 2" xfId="38" xr:uid="{00000000-0005-0000-0000-000027000000}"/>
    <cellStyle name="標準 2 2" xfId="39" xr:uid="{00000000-0005-0000-0000-000028000000}"/>
    <cellStyle name="標準 2 3" xfId="40" xr:uid="{00000000-0005-0000-0000-000029000000}"/>
    <cellStyle name="標準 2 4" xfId="41" xr:uid="{00000000-0005-0000-0000-00002A000000}"/>
    <cellStyle name="標準 2 5" xfId="42" xr:uid="{00000000-0005-0000-0000-00002B000000}"/>
    <cellStyle name="標準 2 6" xfId="43" xr:uid="{00000000-0005-0000-0000-00002C000000}"/>
    <cellStyle name="標準 3" xfId="44" xr:uid="{00000000-0005-0000-0000-00002D000000}"/>
    <cellStyle name="標準 3 2" xfId="45" xr:uid="{00000000-0005-0000-0000-00002E000000}"/>
    <cellStyle name="標準 3 3" xfId="46" xr:uid="{00000000-0005-0000-0000-00002F000000}"/>
    <cellStyle name="標準 3 4" xfId="47" xr:uid="{00000000-0005-0000-0000-000030000000}"/>
    <cellStyle name="標準 4" xfId="48" xr:uid="{00000000-0005-0000-0000-000031000000}"/>
    <cellStyle name="標準 5" xfId="49" xr:uid="{00000000-0005-0000-0000-000032000000}"/>
    <cellStyle name="標準 6" xfId="50" xr:uid="{00000000-0005-0000-0000-000033000000}"/>
    <cellStyle name="標準 7" xfId="51" xr:uid="{00000000-0005-0000-0000-000034000000}"/>
    <cellStyle name="標準 8" xfId="52" xr:uid="{00000000-0005-0000-0000-000035000000}"/>
    <cellStyle name="標準 9" xfId="53" xr:uid="{00000000-0005-0000-0000-000036000000}"/>
    <cellStyle name="標題" xfId="54" builtinId="15" customBuiltin="1"/>
    <cellStyle name="標題 1" xfId="55" builtinId="16" customBuiltin="1"/>
    <cellStyle name="標題 2" xfId="56" builtinId="17" customBuiltin="1"/>
    <cellStyle name="標題 3" xfId="57" builtinId="18" customBuiltin="1"/>
    <cellStyle name="標題 4" xfId="58" builtinId="19" customBuiltin="1"/>
    <cellStyle name="輸入" xfId="59" builtinId="20" customBuiltin="1"/>
    <cellStyle name="輸出" xfId="60" builtinId="21" customBuiltin="1"/>
    <cellStyle name="檢查儲存格" xfId="61" builtinId="23" customBuiltin="1"/>
    <cellStyle name="壞" xfId="62" builtinId="27" customBuiltin="1"/>
    <cellStyle name="警告文字" xfId="63" builtinId="11" customBuiltin="1"/>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3" tint="0.39994506668294322"/>
      </font>
      <fill>
        <patternFill patternType="none">
          <bgColor auto="1"/>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cook-win\STG%20project\Assets\Setting\Stage7_Normal\stage7_9&#32066;boss%20-%20&#31526;5&#23376;&#24392;2.xlsm" TargetMode="External"/><Relationship Id="rId1" Type="http://schemas.openxmlformats.org/officeDocument/2006/relationships/externalLinkPath" Target="stage7_9&#32066;boss%20-%20&#31526;5&#23376;&#2439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ge7_card5shot2"/>
      <sheetName val="#ALIAS"/>
      <sheetName val="#DEFINE"/>
      <sheetName val="#OPTION"/>
      <sheetName val="#PARAM"/>
      <sheetName val="#OUTPUT"/>
      <sheetName val="#使用說明"/>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629"/>
  <sheetViews>
    <sheetView zoomScale="115" zoomScaleNormal="115" workbookViewId="0">
      <pane ySplit="1" topLeftCell="A11" activePane="bottomLeft" state="frozen"/>
      <selection pane="bottomLeft" activeCell="Q15" sqref="Q15"/>
    </sheetView>
  </sheetViews>
  <sheetFormatPr defaultRowHeight="19.5"/>
  <cols>
    <col min="1" max="4" width="4.125" style="22" customWidth="1"/>
    <col min="5" max="5" width="9" style="9"/>
    <col min="6" max="6" width="16.125" style="9" bestFit="1" customWidth="1"/>
    <col min="7" max="8" width="7.375" style="9" customWidth="1"/>
    <col min="9" max="10" width="9" style="9"/>
    <col min="11" max="11" width="16" style="9" customWidth="1"/>
    <col min="12" max="12" width="22.375" style="9" customWidth="1"/>
    <col min="13" max="13" width="24.375" style="23" bestFit="1" customWidth="1"/>
    <col min="14" max="14" width="16.125" style="9" bestFit="1" customWidth="1"/>
    <col min="15" max="15" width="12.625" style="9" bestFit="1" customWidth="1"/>
    <col min="16" max="16" width="13.875" style="9" bestFit="1" customWidth="1"/>
    <col min="17" max="17" width="9" style="9"/>
    <col min="18" max="18" width="8" style="9" bestFit="1" customWidth="1"/>
    <col min="19" max="19" width="9.25" style="12" bestFit="1" customWidth="1"/>
    <col min="20" max="20" width="13.875" style="9" bestFit="1" customWidth="1"/>
    <col min="21" max="21" width="13.25" style="9" bestFit="1" customWidth="1"/>
    <col min="22" max="22" width="10.5" style="12" bestFit="1" customWidth="1"/>
    <col min="23" max="23" width="16.125" style="12" bestFit="1" customWidth="1"/>
    <col min="24" max="24" width="16.125" style="12" customWidth="1"/>
    <col min="25" max="26" width="16.125" style="15" bestFit="1" customWidth="1"/>
    <col min="27" max="31" width="13.25" style="15" bestFit="1" customWidth="1"/>
    <col min="32" max="33" width="13.25" style="16" bestFit="1" customWidth="1"/>
    <col min="34" max="60" width="14.625" style="16" bestFit="1" customWidth="1"/>
    <col min="61" max="16384" width="9" style="9"/>
  </cols>
  <sheetData>
    <row r="1" spans="1:56" s="17" customFormat="1">
      <c r="A1" s="21"/>
      <c r="B1" s="21"/>
      <c r="C1" s="21"/>
      <c r="D1" s="21"/>
      <c r="E1" s="17" t="s">
        <v>49</v>
      </c>
      <c r="F1" s="19" t="s">
        <v>27</v>
      </c>
      <c r="K1" s="17" t="s">
        <v>140</v>
      </c>
      <c r="L1" s="17" t="s">
        <v>141</v>
      </c>
      <c r="M1" s="23" t="s">
        <v>94</v>
      </c>
      <c r="N1" s="6" t="s">
        <v>95</v>
      </c>
      <c r="O1" s="6" t="s">
        <v>51</v>
      </c>
      <c r="P1" s="6" t="s">
        <v>52</v>
      </c>
      <c r="Q1" s="6" t="s">
        <v>53</v>
      </c>
      <c r="R1" s="6" t="s">
        <v>54</v>
      </c>
      <c r="S1" s="6" t="s">
        <v>55</v>
      </c>
      <c r="T1" s="6" t="s">
        <v>56</v>
      </c>
      <c r="U1" s="6" t="s">
        <v>57</v>
      </c>
      <c r="V1" s="6" t="s">
        <v>58</v>
      </c>
      <c r="W1" s="6" t="s">
        <v>59</v>
      </c>
      <c r="X1" s="6" t="s">
        <v>60</v>
      </c>
      <c r="Y1" s="6" t="s">
        <v>61</v>
      </c>
      <c r="Z1" s="6" t="s">
        <v>62</v>
      </c>
      <c r="AA1" s="6" t="s">
        <v>63</v>
      </c>
      <c r="AB1" s="6" t="s">
        <v>64</v>
      </c>
      <c r="AC1" s="6" t="s">
        <v>65</v>
      </c>
      <c r="AD1" s="6" t="s">
        <v>66</v>
      </c>
      <c r="AE1" s="6" t="s">
        <v>67</v>
      </c>
      <c r="AF1" s="6" t="s">
        <v>68</v>
      </c>
      <c r="AG1" s="6" t="s">
        <v>69</v>
      </c>
      <c r="AH1" s="6" t="s">
        <v>70</v>
      </c>
      <c r="AI1" s="6" t="s">
        <v>71</v>
      </c>
      <c r="AJ1" s="6" t="s">
        <v>72</v>
      </c>
      <c r="AK1" s="6" t="s">
        <v>73</v>
      </c>
      <c r="AL1" s="6" t="s">
        <v>74</v>
      </c>
      <c r="AM1" s="6" t="s">
        <v>75</v>
      </c>
      <c r="AN1" s="6" t="s">
        <v>76</v>
      </c>
      <c r="AO1" s="6" t="s">
        <v>77</v>
      </c>
      <c r="AP1" s="6" t="s">
        <v>78</v>
      </c>
      <c r="AQ1" s="6" t="s">
        <v>79</v>
      </c>
      <c r="AR1" s="6" t="s">
        <v>80</v>
      </c>
      <c r="AS1" s="6" t="s">
        <v>81</v>
      </c>
      <c r="AT1" s="6" t="s">
        <v>82</v>
      </c>
      <c r="AU1" s="6" t="s">
        <v>83</v>
      </c>
      <c r="AV1" s="6" t="s">
        <v>84</v>
      </c>
      <c r="AW1" s="6" t="s">
        <v>85</v>
      </c>
      <c r="AX1" s="6" t="s">
        <v>86</v>
      </c>
      <c r="AY1" s="6" t="s">
        <v>87</v>
      </c>
      <c r="AZ1" s="6" t="s">
        <v>88</v>
      </c>
      <c r="BA1" s="6" t="s">
        <v>89</v>
      </c>
      <c r="BB1" s="6" t="s">
        <v>90</v>
      </c>
      <c r="BC1" s="6" t="s">
        <v>91</v>
      </c>
      <c r="BD1" s="6" t="s">
        <v>92</v>
      </c>
    </row>
    <row r="2" spans="1:56">
      <c r="E2" s="4"/>
    </row>
    <row r="3" spans="1:56">
      <c r="E3" s="4"/>
    </row>
    <row r="4" spans="1:56">
      <c r="E4" s="4"/>
    </row>
    <row r="5" spans="1:56">
      <c r="E5" s="4"/>
    </row>
    <row r="6" spans="1:56">
      <c r="A6" s="23">
        <f>G8*H8</f>
        <v>49</v>
      </c>
      <c r="B6" s="9"/>
      <c r="C6" s="9"/>
      <c r="D6" s="9"/>
      <c r="E6" s="4"/>
    </row>
    <row r="7" spans="1:56">
      <c r="A7" s="9" t="s">
        <v>227</v>
      </c>
      <c r="B7" s="23">
        <f>QUOTIENT( D7-1,G8)+1</f>
        <v>1</v>
      </c>
      <c r="C7" s="23">
        <f>D7-(B7-1)*G8</f>
        <v>1</v>
      </c>
      <c r="D7" s="23">
        <f>COUNT($D6:$D$6)+1</f>
        <v>1</v>
      </c>
      <c r="E7" s="4"/>
    </row>
    <row r="8" spans="1:56">
      <c r="E8" s="4">
        <f t="shared" ref="E8:E71" si="0">ROW(E8)</f>
        <v>8</v>
      </c>
      <c r="F8" s="9" t="s">
        <v>93</v>
      </c>
      <c r="G8" s="9" t="s">
        <v>228</v>
      </c>
      <c r="H8" s="9" t="s">
        <v>228</v>
      </c>
      <c r="J8" s="23">
        <v>11100</v>
      </c>
      <c r="M8" s="23">
        <f>$J$8+D7</f>
        <v>11101</v>
      </c>
    </row>
    <row r="9" spans="1:56">
      <c r="E9" s="4">
        <f t="shared" si="0"/>
        <v>9</v>
      </c>
      <c r="F9" s="9" t="s">
        <v>144</v>
      </c>
      <c r="M9" s="23">
        <v>104020</v>
      </c>
    </row>
    <row r="10" spans="1:56">
      <c r="E10" s="4">
        <f t="shared" si="0"/>
        <v>10</v>
      </c>
      <c r="F10" s="9" t="s">
        <v>126</v>
      </c>
      <c r="G10" s="9">
        <v>-1</v>
      </c>
      <c r="H10" s="23">
        <v>10</v>
      </c>
      <c r="J10" s="23">
        <v>8</v>
      </c>
      <c r="M10" s="23">
        <f>H10*D7+$J$10+B7*G10</f>
        <v>17</v>
      </c>
    </row>
    <row r="11" spans="1:56">
      <c r="E11" s="4">
        <f t="shared" si="0"/>
        <v>11</v>
      </c>
      <c r="F11" s="9" t="s">
        <v>35</v>
      </c>
      <c r="M11" s="23">
        <v>1000</v>
      </c>
    </row>
    <row r="12" spans="1:56">
      <c r="E12" s="4">
        <f t="shared" si="0"/>
        <v>12</v>
      </c>
      <c r="F12" s="9" t="s">
        <v>29</v>
      </c>
      <c r="M12" s="23" t="s">
        <v>229</v>
      </c>
    </row>
    <row r="13" spans="1:56">
      <c r="E13" s="4">
        <f t="shared" si="0"/>
        <v>13</v>
      </c>
      <c r="F13" s="9" t="s">
        <v>118</v>
      </c>
      <c r="M13" s="23" t="s">
        <v>230</v>
      </c>
    </row>
    <row r="14" spans="1:56">
      <c r="E14" s="4">
        <f t="shared" si="0"/>
        <v>14</v>
      </c>
      <c r="F14" s="9" t="s">
        <v>114</v>
      </c>
      <c r="M14" s="23" t="b">
        <v>1</v>
      </c>
    </row>
    <row r="15" spans="1:56">
      <c r="E15" s="4">
        <f t="shared" si="0"/>
        <v>15</v>
      </c>
      <c r="F15" s="9" t="s">
        <v>98</v>
      </c>
      <c r="K15" s="9" t="s">
        <v>137</v>
      </c>
      <c r="M15" s="23">
        <v>2</v>
      </c>
    </row>
    <row r="16" spans="1:56">
      <c r="E16" s="4">
        <f t="shared" si="0"/>
        <v>16</v>
      </c>
      <c r="F16" s="9" t="s">
        <v>30</v>
      </c>
      <c r="G16" s="23">
        <v>2.5</v>
      </c>
      <c r="I16" s="25">
        <v>0</v>
      </c>
      <c r="M16" s="23">
        <f>$G$16+$I$16*D7</f>
        <v>2.5</v>
      </c>
    </row>
    <row r="17" spans="1:13">
      <c r="E17" s="4">
        <f t="shared" si="0"/>
        <v>17</v>
      </c>
      <c r="F17" s="9" t="s">
        <v>31</v>
      </c>
      <c r="L17" s="9" t="s">
        <v>135</v>
      </c>
      <c r="M17" s="23" t="s">
        <v>231</v>
      </c>
    </row>
    <row r="18" spans="1:13">
      <c r="E18" s="4">
        <f t="shared" si="0"/>
        <v>18</v>
      </c>
      <c r="F18" s="9" t="s">
        <v>143</v>
      </c>
      <c r="G18" s="23">
        <v>30</v>
      </c>
      <c r="H18" s="23">
        <v>-30</v>
      </c>
      <c r="I18" s="23">
        <v>-10</v>
      </c>
      <c r="J18" s="9" t="s">
        <v>232</v>
      </c>
      <c r="L18" s="9" t="s">
        <v>134</v>
      </c>
      <c r="M18" s="23">
        <f>IF(MOD(QUOTIENT(D7-1,$G$8),2)=0,$G$18+$I$18*MOD(D7-1,$G$8),$H$18+$J$18*MOD(D7-1,$G$8))</f>
        <v>30</v>
      </c>
    </row>
    <row r="19" spans="1:13">
      <c r="A19" s="22" t="s">
        <v>227</v>
      </c>
      <c r="B19" s="22">
        <f t="shared" ref="B19" si="1">QUOTIENT( D19-1,G20)+1</f>
        <v>1</v>
      </c>
      <c r="C19" s="22">
        <f t="shared" ref="C19" si="2">D19-(B19-1)*G20</f>
        <v>2</v>
      </c>
      <c r="D19" s="22">
        <f>COUNT($D$6:$D18)+1</f>
        <v>2</v>
      </c>
      <c r="E19" s="4"/>
    </row>
    <row r="20" spans="1:13">
      <c r="E20" s="4">
        <f t="shared" si="0"/>
        <v>20</v>
      </c>
      <c r="F20" s="9" t="s">
        <v>93</v>
      </c>
      <c r="G20" s="9" t="s">
        <v>39</v>
      </c>
      <c r="H20" s="9" t="s">
        <v>39</v>
      </c>
      <c r="J20" s="9">
        <v>11100</v>
      </c>
      <c r="M20" s="23">
        <f t="shared" ref="M20" si="3">$J$8+D19</f>
        <v>11102</v>
      </c>
    </row>
    <row r="21" spans="1:13">
      <c r="E21" s="4">
        <f t="shared" si="0"/>
        <v>21</v>
      </c>
      <c r="F21" s="9" t="s">
        <v>144</v>
      </c>
      <c r="M21" s="23">
        <v>104020</v>
      </c>
    </row>
    <row r="22" spans="1:13">
      <c r="E22" s="4">
        <f t="shared" si="0"/>
        <v>22</v>
      </c>
      <c r="F22" s="9" t="s">
        <v>126</v>
      </c>
      <c r="G22" s="9">
        <v>-1</v>
      </c>
      <c r="H22" s="9">
        <v>10</v>
      </c>
      <c r="J22" s="9">
        <v>8</v>
      </c>
      <c r="M22" s="23">
        <f t="shared" ref="M22" si="4">H22*D19+$J$10+B19*G22</f>
        <v>27</v>
      </c>
    </row>
    <row r="23" spans="1:13">
      <c r="E23" s="4">
        <f t="shared" si="0"/>
        <v>23</v>
      </c>
      <c r="F23" s="9" t="s">
        <v>35</v>
      </c>
      <c r="M23" s="23">
        <v>1000</v>
      </c>
    </row>
    <row r="24" spans="1:13">
      <c r="E24" s="4">
        <f t="shared" si="0"/>
        <v>24</v>
      </c>
      <c r="F24" s="9" t="s">
        <v>29</v>
      </c>
      <c r="M24" s="23" t="s">
        <v>229</v>
      </c>
    </row>
    <row r="25" spans="1:13">
      <c r="E25" s="4">
        <f t="shared" si="0"/>
        <v>25</v>
      </c>
      <c r="F25" s="9" t="s">
        <v>118</v>
      </c>
      <c r="M25" s="23" t="s">
        <v>230</v>
      </c>
    </row>
    <row r="26" spans="1:13">
      <c r="E26" s="4">
        <f t="shared" si="0"/>
        <v>26</v>
      </c>
      <c r="F26" s="9" t="s">
        <v>114</v>
      </c>
      <c r="M26" s="23" t="b">
        <v>1</v>
      </c>
    </row>
    <row r="27" spans="1:13">
      <c r="E27" s="4">
        <f t="shared" si="0"/>
        <v>27</v>
      </c>
      <c r="F27" s="9" t="s">
        <v>98</v>
      </c>
      <c r="K27" s="9" t="s">
        <v>137</v>
      </c>
      <c r="M27" s="23">
        <v>2</v>
      </c>
    </row>
    <row r="28" spans="1:13">
      <c r="E28" s="4">
        <f t="shared" si="0"/>
        <v>28</v>
      </c>
      <c r="F28" s="9" t="s">
        <v>30</v>
      </c>
      <c r="G28" s="9">
        <v>2.5</v>
      </c>
      <c r="I28" s="9">
        <v>0</v>
      </c>
      <c r="M28" s="23">
        <f t="shared" ref="M28" si="5">$G$16+$I$16*D19</f>
        <v>2.5</v>
      </c>
    </row>
    <row r="29" spans="1:13">
      <c r="E29" s="4">
        <f t="shared" si="0"/>
        <v>29</v>
      </c>
      <c r="F29" s="9" t="s">
        <v>31</v>
      </c>
      <c r="L29" s="9" t="s">
        <v>135</v>
      </c>
      <c r="M29" s="23" t="s">
        <v>231</v>
      </c>
    </row>
    <row r="30" spans="1:13">
      <c r="E30" s="4">
        <f t="shared" si="0"/>
        <v>30</v>
      </c>
      <c r="F30" s="9" t="s">
        <v>143</v>
      </c>
      <c r="G30" s="9">
        <v>30</v>
      </c>
      <c r="H30" s="9">
        <v>-30</v>
      </c>
      <c r="I30" s="9">
        <v>-10</v>
      </c>
      <c r="J30" s="9" t="s">
        <v>34</v>
      </c>
      <c r="L30" s="9" t="s">
        <v>134</v>
      </c>
      <c r="M30" s="23">
        <f t="shared" ref="M30" si="6">IF(MOD(QUOTIENT(D19-1,$G$8),2)=0,$G$18+$I$18*MOD(D19-1,$G$8),$H$18+$J$18*MOD(D19-1,$G$8))</f>
        <v>20</v>
      </c>
    </row>
    <row r="31" spans="1:13">
      <c r="A31" s="22" t="s">
        <v>227</v>
      </c>
      <c r="B31" s="22">
        <f t="shared" ref="B31" si="7">QUOTIENT( D31-1,G32)+1</f>
        <v>1</v>
      </c>
      <c r="C31" s="22">
        <f t="shared" ref="C31" si="8">D31-(B31-1)*G32</f>
        <v>3</v>
      </c>
      <c r="D31" s="22">
        <f>COUNT($D$6:$D30)+1</f>
        <v>3</v>
      </c>
      <c r="E31" s="4"/>
    </row>
    <row r="32" spans="1:13">
      <c r="E32" s="4">
        <f t="shared" si="0"/>
        <v>32</v>
      </c>
      <c r="F32" s="9" t="s">
        <v>93</v>
      </c>
      <c r="G32" s="9" t="s">
        <v>39</v>
      </c>
      <c r="H32" s="9" t="s">
        <v>39</v>
      </c>
      <c r="J32" s="9">
        <v>11100</v>
      </c>
      <c r="M32" s="23">
        <f t="shared" ref="M32" si="9">$J$8+D31</f>
        <v>11103</v>
      </c>
    </row>
    <row r="33" spans="1:13">
      <c r="E33" s="4">
        <f t="shared" si="0"/>
        <v>33</v>
      </c>
      <c r="F33" s="9" t="s">
        <v>144</v>
      </c>
      <c r="M33" s="23">
        <v>104020</v>
      </c>
    </row>
    <row r="34" spans="1:13">
      <c r="E34" s="4">
        <f t="shared" si="0"/>
        <v>34</v>
      </c>
      <c r="F34" s="9" t="s">
        <v>126</v>
      </c>
      <c r="G34" s="9">
        <v>-1</v>
      </c>
      <c r="H34" s="9">
        <v>10</v>
      </c>
      <c r="J34" s="9">
        <v>8</v>
      </c>
      <c r="M34" s="23">
        <f t="shared" ref="M34" si="10">H34*D31+$J$10+B31*G34</f>
        <v>37</v>
      </c>
    </row>
    <row r="35" spans="1:13">
      <c r="E35" s="4">
        <f t="shared" si="0"/>
        <v>35</v>
      </c>
      <c r="F35" s="9" t="s">
        <v>35</v>
      </c>
      <c r="M35" s="23">
        <v>1000</v>
      </c>
    </row>
    <row r="36" spans="1:13">
      <c r="E36" s="4">
        <f t="shared" si="0"/>
        <v>36</v>
      </c>
      <c r="F36" s="9" t="s">
        <v>29</v>
      </c>
      <c r="M36" s="23" t="s">
        <v>229</v>
      </c>
    </row>
    <row r="37" spans="1:13">
      <c r="E37" s="4">
        <f t="shared" si="0"/>
        <v>37</v>
      </c>
      <c r="F37" s="9" t="s">
        <v>118</v>
      </c>
      <c r="M37" s="23" t="s">
        <v>230</v>
      </c>
    </row>
    <row r="38" spans="1:13">
      <c r="E38" s="4">
        <f t="shared" si="0"/>
        <v>38</v>
      </c>
      <c r="F38" s="9" t="s">
        <v>114</v>
      </c>
      <c r="M38" s="23" t="b">
        <v>1</v>
      </c>
    </row>
    <row r="39" spans="1:13">
      <c r="E39" s="4">
        <f t="shared" si="0"/>
        <v>39</v>
      </c>
      <c r="F39" s="9" t="s">
        <v>98</v>
      </c>
      <c r="K39" s="9" t="s">
        <v>137</v>
      </c>
      <c r="M39" s="23">
        <v>2</v>
      </c>
    </row>
    <row r="40" spans="1:13">
      <c r="E40" s="4">
        <f t="shared" si="0"/>
        <v>40</v>
      </c>
      <c r="F40" s="9" t="s">
        <v>30</v>
      </c>
      <c r="G40" s="9">
        <v>2.5</v>
      </c>
      <c r="I40" s="9">
        <v>0</v>
      </c>
      <c r="M40" s="23">
        <f t="shared" ref="M40" si="11">$G$16+$I$16*D31</f>
        <v>2.5</v>
      </c>
    </row>
    <row r="41" spans="1:13">
      <c r="E41" s="4">
        <f t="shared" si="0"/>
        <v>41</v>
      </c>
      <c r="F41" s="9" t="s">
        <v>31</v>
      </c>
      <c r="L41" s="9" t="s">
        <v>135</v>
      </c>
      <c r="M41" s="23" t="s">
        <v>231</v>
      </c>
    </row>
    <row r="42" spans="1:13">
      <c r="E42" s="4">
        <f t="shared" si="0"/>
        <v>42</v>
      </c>
      <c r="F42" s="9" t="s">
        <v>143</v>
      </c>
      <c r="G42" s="9">
        <v>30</v>
      </c>
      <c r="H42" s="9">
        <v>-30</v>
      </c>
      <c r="I42" s="9">
        <v>-10</v>
      </c>
      <c r="J42" s="9" t="s">
        <v>34</v>
      </c>
      <c r="L42" s="9" t="s">
        <v>134</v>
      </c>
      <c r="M42" s="23">
        <f t="shared" ref="M42" si="12">IF(MOD(QUOTIENT(D31-1,$G$8),2)=0,$G$18+$I$18*MOD(D31-1,$G$8),$H$18+$J$18*MOD(D31-1,$G$8))</f>
        <v>10</v>
      </c>
    </row>
    <row r="43" spans="1:13">
      <c r="A43" s="22" t="s">
        <v>227</v>
      </c>
      <c r="B43" s="22">
        <f t="shared" ref="B43" si="13">QUOTIENT( D43-1,G44)+1</f>
        <v>1</v>
      </c>
      <c r="C43" s="22">
        <f t="shared" ref="C43" si="14">D43-(B43-1)*G44</f>
        <v>4</v>
      </c>
      <c r="D43" s="22">
        <f>COUNT($D$6:$D42)+1</f>
        <v>4</v>
      </c>
      <c r="E43" s="4"/>
    </row>
    <row r="44" spans="1:13">
      <c r="E44" s="4">
        <f t="shared" si="0"/>
        <v>44</v>
      </c>
      <c r="F44" s="9" t="s">
        <v>93</v>
      </c>
      <c r="G44" s="9" t="s">
        <v>39</v>
      </c>
      <c r="H44" s="9" t="s">
        <v>39</v>
      </c>
      <c r="J44" s="9">
        <v>11100</v>
      </c>
      <c r="M44" s="23">
        <f t="shared" ref="M44" si="15">$J$8+D43</f>
        <v>11104</v>
      </c>
    </row>
    <row r="45" spans="1:13">
      <c r="E45" s="4">
        <f t="shared" si="0"/>
        <v>45</v>
      </c>
      <c r="F45" s="9" t="s">
        <v>144</v>
      </c>
      <c r="M45" s="23">
        <v>104020</v>
      </c>
    </row>
    <row r="46" spans="1:13">
      <c r="E46" s="4">
        <f t="shared" si="0"/>
        <v>46</v>
      </c>
      <c r="F46" s="9" t="s">
        <v>126</v>
      </c>
      <c r="G46" s="9">
        <v>-1</v>
      </c>
      <c r="H46" s="9">
        <v>10</v>
      </c>
      <c r="J46" s="9">
        <v>8</v>
      </c>
      <c r="M46" s="23">
        <f t="shared" ref="M46" si="16">H46*D43+$J$10+B43*G46</f>
        <v>47</v>
      </c>
    </row>
    <row r="47" spans="1:13">
      <c r="E47" s="4">
        <f t="shared" si="0"/>
        <v>47</v>
      </c>
      <c r="F47" s="9" t="s">
        <v>35</v>
      </c>
      <c r="M47" s="23">
        <v>1000</v>
      </c>
    </row>
    <row r="48" spans="1:13">
      <c r="E48" s="4">
        <f t="shared" si="0"/>
        <v>48</v>
      </c>
      <c r="F48" s="9" t="s">
        <v>29</v>
      </c>
      <c r="M48" s="23" t="s">
        <v>229</v>
      </c>
    </row>
    <row r="49" spans="1:13">
      <c r="E49" s="4">
        <f t="shared" si="0"/>
        <v>49</v>
      </c>
      <c r="F49" s="9" t="s">
        <v>118</v>
      </c>
      <c r="M49" s="23" t="s">
        <v>230</v>
      </c>
    </row>
    <row r="50" spans="1:13">
      <c r="E50" s="4">
        <f t="shared" si="0"/>
        <v>50</v>
      </c>
      <c r="F50" s="9" t="s">
        <v>114</v>
      </c>
      <c r="M50" s="23" t="b">
        <v>1</v>
      </c>
    </row>
    <row r="51" spans="1:13">
      <c r="E51" s="4">
        <f t="shared" si="0"/>
        <v>51</v>
      </c>
      <c r="F51" s="9" t="s">
        <v>98</v>
      </c>
      <c r="K51" s="9" t="s">
        <v>137</v>
      </c>
      <c r="M51" s="23">
        <v>2</v>
      </c>
    </row>
    <row r="52" spans="1:13">
      <c r="E52" s="4">
        <f t="shared" si="0"/>
        <v>52</v>
      </c>
      <c r="F52" s="9" t="s">
        <v>30</v>
      </c>
      <c r="G52" s="9">
        <v>2.5</v>
      </c>
      <c r="I52" s="9">
        <v>0</v>
      </c>
      <c r="M52" s="23">
        <f t="shared" ref="M52" si="17">$G$16+$I$16*D43</f>
        <v>2.5</v>
      </c>
    </row>
    <row r="53" spans="1:13">
      <c r="E53" s="4">
        <f t="shared" si="0"/>
        <v>53</v>
      </c>
      <c r="F53" s="9" t="s">
        <v>31</v>
      </c>
      <c r="L53" s="9" t="s">
        <v>135</v>
      </c>
      <c r="M53" s="23" t="s">
        <v>231</v>
      </c>
    </row>
    <row r="54" spans="1:13">
      <c r="E54" s="4">
        <f t="shared" si="0"/>
        <v>54</v>
      </c>
      <c r="F54" s="9" t="s">
        <v>143</v>
      </c>
      <c r="G54" s="9">
        <v>30</v>
      </c>
      <c r="H54" s="9">
        <v>-30</v>
      </c>
      <c r="I54" s="9">
        <v>-10</v>
      </c>
      <c r="J54" s="9" t="s">
        <v>34</v>
      </c>
      <c r="L54" s="9" t="s">
        <v>134</v>
      </c>
      <c r="M54" s="23">
        <f t="shared" ref="M54" si="18">IF(MOD(QUOTIENT(D43-1,$G$8),2)=0,$G$18+$I$18*MOD(D43-1,$G$8),$H$18+$J$18*MOD(D43-1,$G$8))</f>
        <v>0</v>
      </c>
    </row>
    <row r="55" spans="1:13">
      <c r="A55" s="22" t="s">
        <v>227</v>
      </c>
      <c r="B55" s="22">
        <f t="shared" ref="B55" si="19">QUOTIENT( D55-1,G56)+1</f>
        <v>1</v>
      </c>
      <c r="C55" s="22">
        <f t="shared" ref="C55" si="20">D55-(B55-1)*G56</f>
        <v>5</v>
      </c>
      <c r="D55" s="22">
        <f>COUNT($D$6:$D54)+1</f>
        <v>5</v>
      </c>
      <c r="E55" s="4"/>
    </row>
    <row r="56" spans="1:13">
      <c r="E56" s="4">
        <f t="shared" si="0"/>
        <v>56</v>
      </c>
      <c r="F56" s="9" t="s">
        <v>93</v>
      </c>
      <c r="G56" s="9" t="s">
        <v>39</v>
      </c>
      <c r="H56" s="9" t="s">
        <v>39</v>
      </c>
      <c r="J56" s="9">
        <v>11100</v>
      </c>
      <c r="M56" s="23">
        <f t="shared" ref="M56" si="21">$J$8+D55</f>
        <v>11105</v>
      </c>
    </row>
    <row r="57" spans="1:13">
      <c r="E57" s="4">
        <f t="shared" si="0"/>
        <v>57</v>
      </c>
      <c r="F57" s="9" t="s">
        <v>144</v>
      </c>
      <c r="M57" s="23">
        <v>104020</v>
      </c>
    </row>
    <row r="58" spans="1:13">
      <c r="E58" s="4">
        <f t="shared" si="0"/>
        <v>58</v>
      </c>
      <c r="F58" s="9" t="s">
        <v>126</v>
      </c>
      <c r="G58" s="9">
        <v>-1</v>
      </c>
      <c r="H58" s="9">
        <v>10</v>
      </c>
      <c r="J58" s="9">
        <v>8</v>
      </c>
      <c r="M58" s="23">
        <f t="shared" ref="M58" si="22">H58*D55+$J$10+B55*G58</f>
        <v>57</v>
      </c>
    </row>
    <row r="59" spans="1:13">
      <c r="E59" s="4">
        <f t="shared" si="0"/>
        <v>59</v>
      </c>
      <c r="F59" s="9" t="s">
        <v>35</v>
      </c>
      <c r="M59" s="23">
        <v>1000</v>
      </c>
    </row>
    <row r="60" spans="1:13">
      <c r="E60" s="4">
        <f t="shared" si="0"/>
        <v>60</v>
      </c>
      <c r="F60" s="9" t="s">
        <v>29</v>
      </c>
      <c r="M60" s="23" t="s">
        <v>229</v>
      </c>
    </row>
    <row r="61" spans="1:13">
      <c r="E61" s="4">
        <f t="shared" si="0"/>
        <v>61</v>
      </c>
      <c r="F61" s="9" t="s">
        <v>118</v>
      </c>
      <c r="M61" s="23" t="s">
        <v>230</v>
      </c>
    </row>
    <row r="62" spans="1:13">
      <c r="E62" s="4">
        <f t="shared" si="0"/>
        <v>62</v>
      </c>
      <c r="F62" s="9" t="s">
        <v>114</v>
      </c>
      <c r="M62" s="23" t="b">
        <v>1</v>
      </c>
    </row>
    <row r="63" spans="1:13">
      <c r="E63" s="4">
        <f t="shared" si="0"/>
        <v>63</v>
      </c>
      <c r="F63" s="9" t="s">
        <v>98</v>
      </c>
      <c r="K63" s="9" t="s">
        <v>137</v>
      </c>
      <c r="M63" s="23">
        <v>2</v>
      </c>
    </row>
    <row r="64" spans="1:13">
      <c r="E64" s="4">
        <f t="shared" si="0"/>
        <v>64</v>
      </c>
      <c r="F64" s="9" t="s">
        <v>30</v>
      </c>
      <c r="G64" s="9">
        <v>2.5</v>
      </c>
      <c r="I64" s="9">
        <v>0</v>
      </c>
      <c r="M64" s="23">
        <f t="shared" ref="M64" si="23">$G$16+$I$16*D55</f>
        <v>2.5</v>
      </c>
    </row>
    <row r="65" spans="1:13">
      <c r="E65" s="4">
        <f t="shared" si="0"/>
        <v>65</v>
      </c>
      <c r="F65" s="9" t="s">
        <v>31</v>
      </c>
      <c r="L65" s="9" t="s">
        <v>135</v>
      </c>
      <c r="M65" s="23" t="s">
        <v>231</v>
      </c>
    </row>
    <row r="66" spans="1:13">
      <c r="E66" s="4">
        <f t="shared" si="0"/>
        <v>66</v>
      </c>
      <c r="F66" s="9" t="s">
        <v>143</v>
      </c>
      <c r="G66" s="9">
        <v>30</v>
      </c>
      <c r="H66" s="9">
        <v>-30</v>
      </c>
      <c r="I66" s="9">
        <v>-10</v>
      </c>
      <c r="J66" s="9" t="s">
        <v>34</v>
      </c>
      <c r="L66" s="9" t="s">
        <v>134</v>
      </c>
      <c r="M66" s="23">
        <f t="shared" ref="M66" si="24">IF(MOD(QUOTIENT(D55-1,$G$8),2)=0,$G$18+$I$18*MOD(D55-1,$G$8),$H$18+$J$18*MOD(D55-1,$G$8))</f>
        <v>-10</v>
      </c>
    </row>
    <row r="67" spans="1:13">
      <c r="A67" s="22" t="s">
        <v>227</v>
      </c>
      <c r="B67" s="22">
        <f t="shared" ref="B67" si="25">QUOTIENT( D67-1,G68)+1</f>
        <v>1</v>
      </c>
      <c r="C67" s="22">
        <f t="shared" ref="C67" si="26">D67-(B67-1)*G68</f>
        <v>6</v>
      </c>
      <c r="D67" s="22">
        <f>COUNT($D$6:$D66)+1</f>
        <v>6</v>
      </c>
      <c r="E67" s="4"/>
    </row>
    <row r="68" spans="1:13">
      <c r="E68" s="4">
        <f t="shared" si="0"/>
        <v>68</v>
      </c>
      <c r="F68" s="9" t="s">
        <v>93</v>
      </c>
      <c r="G68" s="9" t="s">
        <v>39</v>
      </c>
      <c r="H68" s="9" t="s">
        <v>39</v>
      </c>
      <c r="J68" s="9">
        <v>11100</v>
      </c>
      <c r="M68" s="23">
        <f t="shared" ref="M68" si="27">$J$8+D67</f>
        <v>11106</v>
      </c>
    </row>
    <row r="69" spans="1:13">
      <c r="E69" s="4">
        <f t="shared" si="0"/>
        <v>69</v>
      </c>
      <c r="F69" s="9" t="s">
        <v>144</v>
      </c>
      <c r="M69" s="23">
        <v>104020</v>
      </c>
    </row>
    <row r="70" spans="1:13">
      <c r="E70" s="4">
        <f t="shared" si="0"/>
        <v>70</v>
      </c>
      <c r="F70" s="9" t="s">
        <v>126</v>
      </c>
      <c r="G70" s="9">
        <v>-1</v>
      </c>
      <c r="H70" s="9">
        <v>10</v>
      </c>
      <c r="J70" s="9">
        <v>8</v>
      </c>
      <c r="M70" s="23">
        <f t="shared" ref="M70" si="28">H70*D67+$J$10+B67*G70</f>
        <v>67</v>
      </c>
    </row>
    <row r="71" spans="1:13">
      <c r="E71" s="4">
        <f t="shared" si="0"/>
        <v>71</v>
      </c>
      <c r="F71" s="9" t="s">
        <v>35</v>
      </c>
      <c r="M71" s="23">
        <v>1000</v>
      </c>
    </row>
    <row r="72" spans="1:13">
      <c r="E72" s="4">
        <f t="shared" ref="E72:E135" si="29">ROW(E72)</f>
        <v>72</v>
      </c>
      <c r="F72" s="9" t="s">
        <v>29</v>
      </c>
      <c r="M72" s="23" t="s">
        <v>229</v>
      </c>
    </row>
    <row r="73" spans="1:13">
      <c r="E73" s="4">
        <f t="shared" si="29"/>
        <v>73</v>
      </c>
      <c r="F73" s="9" t="s">
        <v>118</v>
      </c>
      <c r="M73" s="23" t="s">
        <v>230</v>
      </c>
    </row>
    <row r="74" spans="1:13">
      <c r="E74" s="4">
        <f t="shared" si="29"/>
        <v>74</v>
      </c>
      <c r="F74" s="9" t="s">
        <v>114</v>
      </c>
      <c r="M74" s="23" t="b">
        <v>1</v>
      </c>
    </row>
    <row r="75" spans="1:13">
      <c r="E75" s="4">
        <f t="shared" si="29"/>
        <v>75</v>
      </c>
      <c r="F75" s="9" t="s">
        <v>98</v>
      </c>
      <c r="K75" s="9" t="s">
        <v>137</v>
      </c>
      <c r="M75" s="23">
        <v>2</v>
      </c>
    </row>
    <row r="76" spans="1:13">
      <c r="E76" s="4">
        <f t="shared" si="29"/>
        <v>76</v>
      </c>
      <c r="F76" s="9" t="s">
        <v>30</v>
      </c>
      <c r="G76" s="9">
        <v>2.5</v>
      </c>
      <c r="I76" s="9">
        <v>0</v>
      </c>
      <c r="M76" s="23">
        <f t="shared" ref="M76" si="30">$G$16+$I$16*D67</f>
        <v>2.5</v>
      </c>
    </row>
    <row r="77" spans="1:13">
      <c r="E77" s="4">
        <f t="shared" si="29"/>
        <v>77</v>
      </c>
      <c r="F77" s="9" t="s">
        <v>31</v>
      </c>
      <c r="L77" s="9" t="s">
        <v>135</v>
      </c>
      <c r="M77" s="23" t="s">
        <v>231</v>
      </c>
    </row>
    <row r="78" spans="1:13">
      <c r="E78" s="4">
        <f t="shared" si="29"/>
        <v>78</v>
      </c>
      <c r="F78" s="9" t="s">
        <v>143</v>
      </c>
      <c r="G78" s="9">
        <v>30</v>
      </c>
      <c r="H78" s="9">
        <v>-30</v>
      </c>
      <c r="I78" s="9">
        <v>-10</v>
      </c>
      <c r="J78" s="9" t="s">
        <v>34</v>
      </c>
      <c r="L78" s="9" t="s">
        <v>134</v>
      </c>
      <c r="M78" s="23">
        <f t="shared" ref="M78" si="31">IF(MOD(QUOTIENT(D67-1,$G$8),2)=0,$G$18+$I$18*MOD(D67-1,$G$8),$H$18+$J$18*MOD(D67-1,$G$8))</f>
        <v>-20</v>
      </c>
    </row>
    <row r="79" spans="1:13">
      <c r="A79" s="22" t="s">
        <v>227</v>
      </c>
      <c r="B79" s="22">
        <f t="shared" ref="B79" si="32">QUOTIENT( D79-1,G80)+1</f>
        <v>1</v>
      </c>
      <c r="C79" s="22">
        <f t="shared" ref="C79" si="33">D79-(B79-1)*G80</f>
        <v>7</v>
      </c>
      <c r="D79" s="22">
        <f>COUNT($D$6:$D78)+1</f>
        <v>7</v>
      </c>
      <c r="E79" s="4"/>
    </row>
    <row r="80" spans="1:13">
      <c r="E80" s="4">
        <f t="shared" si="29"/>
        <v>80</v>
      </c>
      <c r="F80" s="9" t="s">
        <v>93</v>
      </c>
      <c r="G80" s="9" t="s">
        <v>39</v>
      </c>
      <c r="H80" s="9" t="s">
        <v>39</v>
      </c>
      <c r="J80" s="9">
        <v>11100</v>
      </c>
      <c r="M80" s="23">
        <f t="shared" ref="M80" si="34">$J$8+D79</f>
        <v>11107</v>
      </c>
    </row>
    <row r="81" spans="1:13">
      <c r="E81" s="4">
        <f t="shared" si="29"/>
        <v>81</v>
      </c>
      <c r="F81" s="9" t="s">
        <v>144</v>
      </c>
      <c r="M81" s="23">
        <v>104020</v>
      </c>
    </row>
    <row r="82" spans="1:13">
      <c r="E82" s="4">
        <f t="shared" si="29"/>
        <v>82</v>
      </c>
      <c r="F82" s="9" t="s">
        <v>126</v>
      </c>
      <c r="G82" s="9">
        <v>-1</v>
      </c>
      <c r="H82" s="9">
        <v>10</v>
      </c>
      <c r="J82" s="9">
        <v>8</v>
      </c>
      <c r="M82" s="23">
        <f t="shared" ref="M82" si="35">H82*D79+$J$10+B79*G82</f>
        <v>77</v>
      </c>
    </row>
    <row r="83" spans="1:13">
      <c r="E83" s="4">
        <f t="shared" si="29"/>
        <v>83</v>
      </c>
      <c r="F83" s="9" t="s">
        <v>35</v>
      </c>
      <c r="M83" s="23">
        <v>1000</v>
      </c>
    </row>
    <row r="84" spans="1:13">
      <c r="E84" s="4">
        <f t="shared" si="29"/>
        <v>84</v>
      </c>
      <c r="F84" s="9" t="s">
        <v>29</v>
      </c>
      <c r="M84" s="23" t="s">
        <v>229</v>
      </c>
    </row>
    <row r="85" spans="1:13">
      <c r="E85" s="4">
        <f t="shared" si="29"/>
        <v>85</v>
      </c>
      <c r="F85" s="9" t="s">
        <v>118</v>
      </c>
      <c r="M85" s="23" t="s">
        <v>230</v>
      </c>
    </row>
    <row r="86" spans="1:13">
      <c r="E86" s="4">
        <f t="shared" si="29"/>
        <v>86</v>
      </c>
      <c r="F86" s="9" t="s">
        <v>114</v>
      </c>
      <c r="M86" s="23" t="b">
        <v>1</v>
      </c>
    </row>
    <row r="87" spans="1:13">
      <c r="E87" s="4">
        <f t="shared" si="29"/>
        <v>87</v>
      </c>
      <c r="F87" s="9" t="s">
        <v>98</v>
      </c>
      <c r="K87" s="9" t="s">
        <v>137</v>
      </c>
      <c r="M87" s="23">
        <v>2</v>
      </c>
    </row>
    <row r="88" spans="1:13">
      <c r="E88" s="4">
        <f t="shared" si="29"/>
        <v>88</v>
      </c>
      <c r="F88" s="9" t="s">
        <v>30</v>
      </c>
      <c r="G88" s="9">
        <v>2.5</v>
      </c>
      <c r="I88" s="9">
        <v>0</v>
      </c>
      <c r="M88" s="23">
        <f t="shared" ref="M88" si="36">$G$16+$I$16*D79</f>
        <v>2.5</v>
      </c>
    </row>
    <row r="89" spans="1:13">
      <c r="E89" s="4">
        <f t="shared" si="29"/>
        <v>89</v>
      </c>
      <c r="F89" s="9" t="s">
        <v>31</v>
      </c>
      <c r="L89" s="9" t="s">
        <v>135</v>
      </c>
      <c r="M89" s="23" t="s">
        <v>231</v>
      </c>
    </row>
    <row r="90" spans="1:13">
      <c r="E90" s="4">
        <f t="shared" si="29"/>
        <v>90</v>
      </c>
      <c r="F90" s="9" t="s">
        <v>143</v>
      </c>
      <c r="G90" s="9">
        <v>30</v>
      </c>
      <c r="H90" s="9">
        <v>-30</v>
      </c>
      <c r="I90" s="9">
        <v>-10</v>
      </c>
      <c r="J90" s="9" t="s">
        <v>34</v>
      </c>
      <c r="L90" s="9" t="s">
        <v>134</v>
      </c>
      <c r="M90" s="23">
        <f t="shared" ref="M90" si="37">IF(MOD(QUOTIENT(D79-1,$G$8),2)=0,$G$18+$I$18*MOD(D79-1,$G$8),$H$18+$J$18*MOD(D79-1,$G$8))</f>
        <v>-30</v>
      </c>
    </row>
    <row r="91" spans="1:13">
      <c r="A91" s="22" t="s">
        <v>227</v>
      </c>
      <c r="B91" s="22">
        <f t="shared" ref="B91" si="38">QUOTIENT( D91-1,G92)+1</f>
        <v>2</v>
      </c>
      <c r="C91" s="22">
        <f t="shared" ref="C91" si="39">D91-(B91-1)*G92</f>
        <v>1</v>
      </c>
      <c r="D91" s="22">
        <f>COUNT($D$6:$D90)+1</f>
        <v>8</v>
      </c>
      <c r="E91" s="4"/>
    </row>
    <row r="92" spans="1:13">
      <c r="E92" s="4">
        <f t="shared" si="29"/>
        <v>92</v>
      </c>
      <c r="F92" s="9" t="s">
        <v>93</v>
      </c>
      <c r="G92" s="9" t="s">
        <v>39</v>
      </c>
      <c r="H92" s="9" t="s">
        <v>39</v>
      </c>
      <c r="J92" s="9">
        <v>11100</v>
      </c>
      <c r="M92" s="23">
        <f t="shared" ref="M92" si="40">$J$8+D91</f>
        <v>11108</v>
      </c>
    </row>
    <row r="93" spans="1:13">
      <c r="E93" s="4">
        <f t="shared" si="29"/>
        <v>93</v>
      </c>
      <c r="F93" s="9" t="s">
        <v>144</v>
      </c>
      <c r="M93" s="23">
        <v>104020</v>
      </c>
    </row>
    <row r="94" spans="1:13">
      <c r="E94" s="4">
        <f t="shared" si="29"/>
        <v>94</v>
      </c>
      <c r="F94" s="9" t="s">
        <v>126</v>
      </c>
      <c r="G94" s="9">
        <v>-1</v>
      </c>
      <c r="H94" s="9">
        <v>10</v>
      </c>
      <c r="J94" s="9">
        <v>8</v>
      </c>
      <c r="M94" s="23">
        <f t="shared" ref="M94" si="41">H94*D91+$J$10+B91*G94</f>
        <v>86</v>
      </c>
    </row>
    <row r="95" spans="1:13">
      <c r="E95" s="4">
        <f t="shared" si="29"/>
        <v>95</v>
      </c>
      <c r="F95" s="9" t="s">
        <v>35</v>
      </c>
      <c r="M95" s="23">
        <v>1000</v>
      </c>
    </row>
    <row r="96" spans="1:13">
      <c r="E96" s="4">
        <f t="shared" si="29"/>
        <v>96</v>
      </c>
      <c r="F96" s="9" t="s">
        <v>29</v>
      </c>
      <c r="M96" s="23" t="s">
        <v>229</v>
      </c>
    </row>
    <row r="97" spans="1:13">
      <c r="E97" s="4">
        <f t="shared" si="29"/>
        <v>97</v>
      </c>
      <c r="F97" s="9" t="s">
        <v>118</v>
      </c>
      <c r="M97" s="23" t="s">
        <v>230</v>
      </c>
    </row>
    <row r="98" spans="1:13">
      <c r="E98" s="4">
        <f t="shared" si="29"/>
        <v>98</v>
      </c>
      <c r="F98" s="9" t="s">
        <v>114</v>
      </c>
      <c r="M98" s="23" t="b">
        <v>1</v>
      </c>
    </row>
    <row r="99" spans="1:13">
      <c r="E99" s="4">
        <f t="shared" si="29"/>
        <v>99</v>
      </c>
      <c r="F99" s="9" t="s">
        <v>98</v>
      </c>
      <c r="K99" s="9" t="s">
        <v>137</v>
      </c>
      <c r="M99" s="23">
        <v>2</v>
      </c>
    </row>
    <row r="100" spans="1:13">
      <c r="E100" s="4">
        <f t="shared" si="29"/>
        <v>100</v>
      </c>
      <c r="F100" s="9" t="s">
        <v>30</v>
      </c>
      <c r="G100" s="9">
        <v>2.5</v>
      </c>
      <c r="I100" s="9">
        <v>0</v>
      </c>
      <c r="M100" s="23">
        <f t="shared" ref="M100" si="42">$G$16+$I$16*D91</f>
        <v>2.5</v>
      </c>
    </row>
    <row r="101" spans="1:13">
      <c r="E101" s="4">
        <f t="shared" si="29"/>
        <v>101</v>
      </c>
      <c r="F101" s="9" t="s">
        <v>31</v>
      </c>
      <c r="L101" s="9" t="s">
        <v>135</v>
      </c>
      <c r="M101" s="23" t="s">
        <v>231</v>
      </c>
    </row>
    <row r="102" spans="1:13">
      <c r="E102" s="4">
        <f t="shared" si="29"/>
        <v>102</v>
      </c>
      <c r="F102" s="9" t="s">
        <v>143</v>
      </c>
      <c r="G102" s="9">
        <v>30</v>
      </c>
      <c r="H102" s="9">
        <v>-30</v>
      </c>
      <c r="I102" s="9">
        <v>-10</v>
      </c>
      <c r="J102" s="9" t="s">
        <v>34</v>
      </c>
      <c r="L102" s="9" t="s">
        <v>134</v>
      </c>
      <c r="M102" s="23">
        <f t="shared" ref="M102" si="43">IF(MOD(QUOTIENT(D91-1,$G$8),2)=0,$G$18+$I$18*MOD(D91-1,$G$8),$H$18+$J$18*MOD(D91-1,$G$8))</f>
        <v>-30</v>
      </c>
    </row>
    <row r="103" spans="1:13">
      <c r="A103" s="22" t="s">
        <v>227</v>
      </c>
      <c r="B103" s="22">
        <f t="shared" ref="B103" si="44">QUOTIENT( D103-1,G104)+1</f>
        <v>2</v>
      </c>
      <c r="C103" s="22">
        <f t="shared" ref="C103" si="45">D103-(B103-1)*G104</f>
        <v>2</v>
      </c>
      <c r="D103" s="22">
        <f>COUNT($D$6:$D102)+1</f>
        <v>9</v>
      </c>
      <c r="E103" s="4"/>
    </row>
    <row r="104" spans="1:13">
      <c r="E104" s="4">
        <f t="shared" si="29"/>
        <v>104</v>
      </c>
      <c r="F104" s="9" t="s">
        <v>93</v>
      </c>
      <c r="G104" s="9" t="s">
        <v>39</v>
      </c>
      <c r="H104" s="9" t="s">
        <v>39</v>
      </c>
      <c r="J104" s="9">
        <v>11100</v>
      </c>
      <c r="M104" s="23">
        <f t="shared" ref="M104" si="46">$J$8+D103</f>
        <v>11109</v>
      </c>
    </row>
    <row r="105" spans="1:13">
      <c r="E105" s="4">
        <f t="shared" si="29"/>
        <v>105</v>
      </c>
      <c r="F105" s="9" t="s">
        <v>144</v>
      </c>
      <c r="M105" s="23">
        <v>104020</v>
      </c>
    </row>
    <row r="106" spans="1:13">
      <c r="E106" s="4">
        <f t="shared" si="29"/>
        <v>106</v>
      </c>
      <c r="F106" s="9" t="s">
        <v>126</v>
      </c>
      <c r="G106" s="9">
        <v>-1</v>
      </c>
      <c r="H106" s="9">
        <v>10</v>
      </c>
      <c r="J106" s="9">
        <v>8</v>
      </c>
      <c r="M106" s="23">
        <f t="shared" ref="M106" si="47">H106*D103+$J$10+B103*G106</f>
        <v>96</v>
      </c>
    </row>
    <row r="107" spans="1:13">
      <c r="E107" s="4">
        <f t="shared" si="29"/>
        <v>107</v>
      </c>
      <c r="F107" s="9" t="s">
        <v>35</v>
      </c>
      <c r="M107" s="23">
        <v>1000</v>
      </c>
    </row>
    <row r="108" spans="1:13">
      <c r="E108" s="4">
        <f t="shared" si="29"/>
        <v>108</v>
      </c>
      <c r="F108" s="9" t="s">
        <v>29</v>
      </c>
      <c r="M108" s="23" t="s">
        <v>229</v>
      </c>
    </row>
    <row r="109" spans="1:13">
      <c r="E109" s="4">
        <f t="shared" si="29"/>
        <v>109</v>
      </c>
      <c r="F109" s="9" t="s">
        <v>118</v>
      </c>
      <c r="M109" s="23" t="s">
        <v>230</v>
      </c>
    </row>
    <row r="110" spans="1:13">
      <c r="E110" s="4">
        <f t="shared" si="29"/>
        <v>110</v>
      </c>
      <c r="F110" s="9" t="s">
        <v>114</v>
      </c>
      <c r="M110" s="23" t="b">
        <v>1</v>
      </c>
    </row>
    <row r="111" spans="1:13">
      <c r="E111" s="4">
        <f t="shared" si="29"/>
        <v>111</v>
      </c>
      <c r="F111" s="9" t="s">
        <v>98</v>
      </c>
      <c r="K111" s="9" t="s">
        <v>137</v>
      </c>
      <c r="M111" s="23">
        <v>2</v>
      </c>
    </row>
    <row r="112" spans="1:13">
      <c r="E112" s="4">
        <f t="shared" si="29"/>
        <v>112</v>
      </c>
      <c r="F112" s="9" t="s">
        <v>30</v>
      </c>
      <c r="G112" s="9">
        <v>2.5</v>
      </c>
      <c r="I112" s="9">
        <v>0</v>
      </c>
      <c r="M112" s="23">
        <f t="shared" ref="M112" si="48">$G$16+$I$16*D103</f>
        <v>2.5</v>
      </c>
    </row>
    <row r="113" spans="1:13">
      <c r="E113" s="4">
        <f t="shared" si="29"/>
        <v>113</v>
      </c>
      <c r="F113" s="9" t="s">
        <v>31</v>
      </c>
      <c r="L113" s="9" t="s">
        <v>135</v>
      </c>
      <c r="M113" s="23" t="s">
        <v>231</v>
      </c>
    </row>
    <row r="114" spans="1:13">
      <c r="E114" s="4">
        <f t="shared" si="29"/>
        <v>114</v>
      </c>
      <c r="F114" s="9" t="s">
        <v>143</v>
      </c>
      <c r="G114" s="9">
        <v>30</v>
      </c>
      <c r="H114" s="9">
        <v>-30</v>
      </c>
      <c r="I114" s="9">
        <v>-10</v>
      </c>
      <c r="J114" s="9" t="s">
        <v>34</v>
      </c>
      <c r="L114" s="9" t="s">
        <v>134</v>
      </c>
      <c r="M114" s="23">
        <f t="shared" ref="M114" si="49">IF(MOD(QUOTIENT(D103-1,$G$8),2)=0,$G$18+$I$18*MOD(D103-1,$G$8),$H$18+$J$18*MOD(D103-1,$G$8))</f>
        <v>-20</v>
      </c>
    </row>
    <row r="115" spans="1:13">
      <c r="A115" s="22" t="s">
        <v>227</v>
      </c>
      <c r="B115" s="22">
        <f t="shared" ref="B115" si="50">QUOTIENT( D115-1,G116)+1</f>
        <v>2</v>
      </c>
      <c r="C115" s="22">
        <f t="shared" ref="C115" si="51">D115-(B115-1)*G116</f>
        <v>3</v>
      </c>
      <c r="D115" s="22">
        <f>COUNT($D$6:$D114)+1</f>
        <v>10</v>
      </c>
      <c r="E115" s="4"/>
    </row>
    <row r="116" spans="1:13">
      <c r="E116" s="4">
        <f t="shared" si="29"/>
        <v>116</v>
      </c>
      <c r="F116" s="9" t="s">
        <v>93</v>
      </c>
      <c r="G116" s="9" t="s">
        <v>39</v>
      </c>
      <c r="H116" s="9" t="s">
        <v>39</v>
      </c>
      <c r="J116" s="9">
        <v>11100</v>
      </c>
      <c r="M116" s="23">
        <f t="shared" ref="M116" si="52">$J$8+D115</f>
        <v>11110</v>
      </c>
    </row>
    <row r="117" spans="1:13">
      <c r="E117" s="4">
        <f t="shared" si="29"/>
        <v>117</v>
      </c>
      <c r="F117" s="9" t="s">
        <v>144</v>
      </c>
      <c r="M117" s="23">
        <v>104020</v>
      </c>
    </row>
    <row r="118" spans="1:13">
      <c r="E118" s="4">
        <f t="shared" si="29"/>
        <v>118</v>
      </c>
      <c r="F118" s="9" t="s">
        <v>126</v>
      </c>
      <c r="G118" s="9">
        <v>-1</v>
      </c>
      <c r="H118" s="9">
        <v>10</v>
      </c>
      <c r="J118" s="9">
        <v>8</v>
      </c>
      <c r="M118" s="23">
        <f t="shared" ref="M118" si="53">H118*D115+$J$10+B115*G118</f>
        <v>106</v>
      </c>
    </row>
    <row r="119" spans="1:13">
      <c r="E119" s="4">
        <f t="shared" si="29"/>
        <v>119</v>
      </c>
      <c r="F119" s="9" t="s">
        <v>35</v>
      </c>
      <c r="M119" s="23">
        <v>1000</v>
      </c>
    </row>
    <row r="120" spans="1:13">
      <c r="E120" s="4">
        <f t="shared" si="29"/>
        <v>120</v>
      </c>
      <c r="F120" s="9" t="s">
        <v>29</v>
      </c>
      <c r="M120" s="23" t="s">
        <v>229</v>
      </c>
    </row>
    <row r="121" spans="1:13">
      <c r="E121" s="4">
        <f t="shared" si="29"/>
        <v>121</v>
      </c>
      <c r="F121" s="9" t="s">
        <v>118</v>
      </c>
      <c r="M121" s="23" t="s">
        <v>230</v>
      </c>
    </row>
    <row r="122" spans="1:13">
      <c r="E122" s="4">
        <f t="shared" si="29"/>
        <v>122</v>
      </c>
      <c r="F122" s="9" t="s">
        <v>114</v>
      </c>
      <c r="M122" s="23" t="b">
        <v>1</v>
      </c>
    </row>
    <row r="123" spans="1:13">
      <c r="E123" s="4">
        <f t="shared" si="29"/>
        <v>123</v>
      </c>
      <c r="F123" s="9" t="s">
        <v>98</v>
      </c>
      <c r="K123" s="9" t="s">
        <v>137</v>
      </c>
      <c r="M123" s="23">
        <v>2</v>
      </c>
    </row>
    <row r="124" spans="1:13">
      <c r="E124" s="4">
        <f t="shared" si="29"/>
        <v>124</v>
      </c>
      <c r="F124" s="9" t="s">
        <v>30</v>
      </c>
      <c r="G124" s="9">
        <v>2.5</v>
      </c>
      <c r="I124" s="9">
        <v>0</v>
      </c>
      <c r="M124" s="23">
        <f t="shared" ref="M124" si="54">$G$16+$I$16*D115</f>
        <v>2.5</v>
      </c>
    </row>
    <row r="125" spans="1:13">
      <c r="E125" s="4">
        <f t="shared" si="29"/>
        <v>125</v>
      </c>
      <c r="F125" s="9" t="s">
        <v>31</v>
      </c>
      <c r="L125" s="9" t="s">
        <v>135</v>
      </c>
      <c r="M125" s="23" t="s">
        <v>231</v>
      </c>
    </row>
    <row r="126" spans="1:13">
      <c r="E126" s="4">
        <f t="shared" si="29"/>
        <v>126</v>
      </c>
      <c r="F126" s="9" t="s">
        <v>143</v>
      </c>
      <c r="G126" s="9">
        <v>30</v>
      </c>
      <c r="H126" s="9">
        <v>-30</v>
      </c>
      <c r="I126" s="9">
        <v>-10</v>
      </c>
      <c r="J126" s="9" t="s">
        <v>34</v>
      </c>
      <c r="L126" s="9" t="s">
        <v>134</v>
      </c>
      <c r="M126" s="23">
        <f t="shared" ref="M126" si="55">IF(MOD(QUOTIENT(D115-1,$G$8),2)=0,$G$18+$I$18*MOD(D115-1,$G$8),$H$18+$J$18*MOD(D115-1,$G$8))</f>
        <v>-10</v>
      </c>
    </row>
    <row r="127" spans="1:13">
      <c r="A127" s="22" t="s">
        <v>227</v>
      </c>
      <c r="B127" s="22">
        <f t="shared" ref="B127" si="56">QUOTIENT( D127-1,G128)+1</f>
        <v>2</v>
      </c>
      <c r="C127" s="22">
        <f t="shared" ref="C127" si="57">D127-(B127-1)*G128</f>
        <v>4</v>
      </c>
      <c r="D127" s="22">
        <f>COUNT($D$6:$D126)+1</f>
        <v>11</v>
      </c>
      <c r="E127" s="4"/>
    </row>
    <row r="128" spans="1:13">
      <c r="E128" s="4">
        <f t="shared" si="29"/>
        <v>128</v>
      </c>
      <c r="F128" s="9" t="s">
        <v>93</v>
      </c>
      <c r="G128" s="9" t="s">
        <v>39</v>
      </c>
      <c r="H128" s="9" t="s">
        <v>39</v>
      </c>
      <c r="J128" s="9">
        <v>11100</v>
      </c>
      <c r="M128" s="23">
        <f t="shared" ref="M128" si="58">$J$8+D127</f>
        <v>11111</v>
      </c>
    </row>
    <row r="129" spans="1:13">
      <c r="E129" s="4">
        <f t="shared" si="29"/>
        <v>129</v>
      </c>
      <c r="F129" s="9" t="s">
        <v>144</v>
      </c>
      <c r="M129" s="23">
        <v>104020</v>
      </c>
    </row>
    <row r="130" spans="1:13">
      <c r="E130" s="4">
        <f t="shared" si="29"/>
        <v>130</v>
      </c>
      <c r="F130" s="9" t="s">
        <v>126</v>
      </c>
      <c r="G130" s="9">
        <v>-1</v>
      </c>
      <c r="H130" s="9">
        <v>10</v>
      </c>
      <c r="J130" s="9">
        <v>8</v>
      </c>
      <c r="M130" s="23">
        <f t="shared" ref="M130" si="59">H130*D127+$J$10+B127*G130</f>
        <v>116</v>
      </c>
    </row>
    <row r="131" spans="1:13">
      <c r="E131" s="4">
        <f t="shared" si="29"/>
        <v>131</v>
      </c>
      <c r="F131" s="9" t="s">
        <v>35</v>
      </c>
      <c r="M131" s="23">
        <v>1000</v>
      </c>
    </row>
    <row r="132" spans="1:13">
      <c r="E132" s="4">
        <f t="shared" si="29"/>
        <v>132</v>
      </c>
      <c r="F132" s="9" t="s">
        <v>29</v>
      </c>
      <c r="M132" s="23" t="s">
        <v>229</v>
      </c>
    </row>
    <row r="133" spans="1:13">
      <c r="E133" s="4">
        <f t="shared" si="29"/>
        <v>133</v>
      </c>
      <c r="F133" s="9" t="s">
        <v>118</v>
      </c>
      <c r="M133" s="23" t="s">
        <v>230</v>
      </c>
    </row>
    <row r="134" spans="1:13">
      <c r="E134" s="4">
        <f t="shared" si="29"/>
        <v>134</v>
      </c>
      <c r="F134" s="9" t="s">
        <v>114</v>
      </c>
      <c r="M134" s="23" t="b">
        <v>1</v>
      </c>
    </row>
    <row r="135" spans="1:13">
      <c r="E135" s="4">
        <f t="shared" si="29"/>
        <v>135</v>
      </c>
      <c r="F135" s="9" t="s">
        <v>98</v>
      </c>
      <c r="K135" s="9" t="s">
        <v>137</v>
      </c>
      <c r="M135" s="23">
        <v>2</v>
      </c>
    </row>
    <row r="136" spans="1:13">
      <c r="E136" s="4">
        <f t="shared" ref="E136:E198" si="60">ROW(E136)</f>
        <v>136</v>
      </c>
      <c r="F136" s="9" t="s">
        <v>30</v>
      </c>
      <c r="G136" s="9">
        <v>2.5</v>
      </c>
      <c r="I136" s="9">
        <v>0</v>
      </c>
      <c r="M136" s="23">
        <f t="shared" ref="M136" si="61">$G$16+$I$16*D127</f>
        <v>2.5</v>
      </c>
    </row>
    <row r="137" spans="1:13">
      <c r="E137" s="4">
        <f t="shared" si="60"/>
        <v>137</v>
      </c>
      <c r="F137" s="9" t="s">
        <v>31</v>
      </c>
      <c r="L137" s="9" t="s">
        <v>135</v>
      </c>
      <c r="M137" s="23" t="s">
        <v>231</v>
      </c>
    </row>
    <row r="138" spans="1:13">
      <c r="E138" s="4">
        <f t="shared" si="60"/>
        <v>138</v>
      </c>
      <c r="F138" s="9" t="s">
        <v>143</v>
      </c>
      <c r="G138" s="9">
        <v>30</v>
      </c>
      <c r="H138" s="9">
        <v>-30</v>
      </c>
      <c r="I138" s="9">
        <v>-10</v>
      </c>
      <c r="J138" s="9" t="s">
        <v>34</v>
      </c>
      <c r="L138" s="9" t="s">
        <v>134</v>
      </c>
      <c r="M138" s="23">
        <f t="shared" ref="M138" si="62">IF(MOD(QUOTIENT(D127-1,$G$8),2)=0,$G$18+$I$18*MOD(D127-1,$G$8),$H$18+$J$18*MOD(D127-1,$G$8))</f>
        <v>0</v>
      </c>
    </row>
    <row r="139" spans="1:13">
      <c r="A139" s="22" t="s">
        <v>227</v>
      </c>
      <c r="B139" s="22">
        <f t="shared" ref="B139" si="63">QUOTIENT( D139-1,G140)+1</f>
        <v>2</v>
      </c>
      <c r="C139" s="22">
        <f t="shared" ref="C139" si="64">D139-(B139-1)*G140</f>
        <v>5</v>
      </c>
      <c r="D139" s="22">
        <f>COUNT($D$6:$D138)+1</f>
        <v>12</v>
      </c>
      <c r="E139" s="4"/>
    </row>
    <row r="140" spans="1:13">
      <c r="E140" s="4">
        <f t="shared" si="60"/>
        <v>140</v>
      </c>
      <c r="F140" s="9" t="s">
        <v>93</v>
      </c>
      <c r="G140" s="9" t="s">
        <v>39</v>
      </c>
      <c r="H140" s="9" t="s">
        <v>39</v>
      </c>
      <c r="J140" s="9">
        <v>11100</v>
      </c>
      <c r="M140" s="23">
        <f t="shared" ref="M140" si="65">$J$8+D139</f>
        <v>11112</v>
      </c>
    </row>
    <row r="141" spans="1:13">
      <c r="E141" s="4">
        <f t="shared" si="60"/>
        <v>141</v>
      </c>
      <c r="F141" s="9" t="s">
        <v>144</v>
      </c>
      <c r="M141" s="23">
        <v>104020</v>
      </c>
    </row>
    <row r="142" spans="1:13">
      <c r="E142" s="4">
        <f t="shared" si="60"/>
        <v>142</v>
      </c>
      <c r="F142" s="9" t="s">
        <v>126</v>
      </c>
      <c r="G142" s="9">
        <v>-1</v>
      </c>
      <c r="H142" s="9">
        <v>10</v>
      </c>
      <c r="J142" s="9">
        <v>8</v>
      </c>
      <c r="M142" s="23">
        <f t="shared" ref="M142" si="66">H142*D139+$J$10+B139*G142</f>
        <v>126</v>
      </c>
    </row>
    <row r="143" spans="1:13">
      <c r="E143" s="4">
        <f t="shared" si="60"/>
        <v>143</v>
      </c>
      <c r="F143" s="9" t="s">
        <v>35</v>
      </c>
      <c r="M143" s="23">
        <v>1000</v>
      </c>
    </row>
    <row r="144" spans="1:13">
      <c r="E144" s="4">
        <f t="shared" si="60"/>
        <v>144</v>
      </c>
      <c r="F144" s="9" t="s">
        <v>29</v>
      </c>
      <c r="M144" s="23" t="s">
        <v>229</v>
      </c>
    </row>
    <row r="145" spans="1:13">
      <c r="E145" s="4">
        <f t="shared" si="60"/>
        <v>145</v>
      </c>
      <c r="F145" s="9" t="s">
        <v>118</v>
      </c>
      <c r="M145" s="23" t="s">
        <v>230</v>
      </c>
    </row>
    <row r="146" spans="1:13">
      <c r="E146" s="4">
        <f t="shared" si="60"/>
        <v>146</v>
      </c>
      <c r="F146" s="9" t="s">
        <v>114</v>
      </c>
      <c r="M146" s="23" t="b">
        <v>1</v>
      </c>
    </row>
    <row r="147" spans="1:13">
      <c r="E147" s="4">
        <f t="shared" si="60"/>
        <v>147</v>
      </c>
      <c r="F147" s="9" t="s">
        <v>98</v>
      </c>
      <c r="K147" s="9" t="s">
        <v>137</v>
      </c>
      <c r="M147" s="23">
        <v>2</v>
      </c>
    </row>
    <row r="148" spans="1:13">
      <c r="E148" s="4">
        <f t="shared" si="60"/>
        <v>148</v>
      </c>
      <c r="F148" s="9" t="s">
        <v>30</v>
      </c>
      <c r="G148" s="9">
        <v>2.5</v>
      </c>
      <c r="I148" s="9">
        <v>0</v>
      </c>
      <c r="M148" s="23">
        <f t="shared" ref="M148" si="67">$G$16+$I$16*D139</f>
        <v>2.5</v>
      </c>
    </row>
    <row r="149" spans="1:13">
      <c r="E149" s="4">
        <f t="shared" si="60"/>
        <v>149</v>
      </c>
      <c r="F149" s="9" t="s">
        <v>31</v>
      </c>
      <c r="L149" s="9" t="s">
        <v>135</v>
      </c>
      <c r="M149" s="23" t="s">
        <v>231</v>
      </c>
    </row>
    <row r="150" spans="1:13">
      <c r="E150" s="4">
        <f t="shared" si="60"/>
        <v>150</v>
      </c>
      <c r="F150" s="9" t="s">
        <v>143</v>
      </c>
      <c r="G150" s="9">
        <v>30</v>
      </c>
      <c r="H150" s="9">
        <v>-30</v>
      </c>
      <c r="I150" s="9">
        <v>-10</v>
      </c>
      <c r="J150" s="9" t="s">
        <v>34</v>
      </c>
      <c r="L150" s="9" t="s">
        <v>134</v>
      </c>
      <c r="M150" s="23">
        <f t="shared" ref="M150" si="68">IF(MOD(QUOTIENT(D139-1,$G$8),2)=0,$G$18+$I$18*MOD(D139-1,$G$8),$H$18+$J$18*MOD(D139-1,$G$8))</f>
        <v>10</v>
      </c>
    </row>
    <row r="151" spans="1:13">
      <c r="A151" s="22" t="s">
        <v>227</v>
      </c>
      <c r="B151" s="22">
        <f t="shared" ref="B151" si="69">QUOTIENT( D151-1,G152)+1</f>
        <v>2</v>
      </c>
      <c r="C151" s="22">
        <f t="shared" ref="C151" si="70">D151-(B151-1)*G152</f>
        <v>6</v>
      </c>
      <c r="D151" s="22">
        <f>COUNT($D$6:$D150)+1</f>
        <v>13</v>
      </c>
      <c r="E151" s="4"/>
    </row>
    <row r="152" spans="1:13">
      <c r="E152" s="4">
        <f t="shared" si="60"/>
        <v>152</v>
      </c>
      <c r="F152" s="9" t="s">
        <v>93</v>
      </c>
      <c r="G152" s="9" t="s">
        <v>39</v>
      </c>
      <c r="H152" s="9" t="s">
        <v>39</v>
      </c>
      <c r="J152" s="9">
        <v>11100</v>
      </c>
      <c r="M152" s="23">
        <f t="shared" ref="M152" si="71">$J$8+D151</f>
        <v>11113</v>
      </c>
    </row>
    <row r="153" spans="1:13">
      <c r="E153" s="4">
        <f t="shared" si="60"/>
        <v>153</v>
      </c>
      <c r="F153" s="9" t="s">
        <v>144</v>
      </c>
      <c r="M153" s="23">
        <v>104020</v>
      </c>
    </row>
    <row r="154" spans="1:13">
      <c r="E154" s="4">
        <f t="shared" si="60"/>
        <v>154</v>
      </c>
      <c r="F154" s="9" t="s">
        <v>126</v>
      </c>
      <c r="G154" s="9">
        <v>-1</v>
      </c>
      <c r="H154" s="9">
        <v>10</v>
      </c>
      <c r="J154" s="9">
        <v>8</v>
      </c>
      <c r="M154" s="23">
        <f t="shared" ref="M154" si="72">H154*D151+$J$10+B151*G154</f>
        <v>136</v>
      </c>
    </row>
    <row r="155" spans="1:13">
      <c r="E155" s="4">
        <f t="shared" si="60"/>
        <v>155</v>
      </c>
      <c r="F155" s="9" t="s">
        <v>35</v>
      </c>
      <c r="M155" s="23">
        <v>1000</v>
      </c>
    </row>
    <row r="156" spans="1:13">
      <c r="E156" s="4">
        <f t="shared" si="60"/>
        <v>156</v>
      </c>
      <c r="F156" s="9" t="s">
        <v>29</v>
      </c>
      <c r="M156" s="23" t="s">
        <v>229</v>
      </c>
    </row>
    <row r="157" spans="1:13">
      <c r="E157" s="4">
        <f t="shared" si="60"/>
        <v>157</v>
      </c>
      <c r="F157" s="9" t="s">
        <v>118</v>
      </c>
      <c r="M157" s="23" t="s">
        <v>230</v>
      </c>
    </row>
    <row r="158" spans="1:13">
      <c r="E158" s="4">
        <f t="shared" si="60"/>
        <v>158</v>
      </c>
      <c r="F158" s="9" t="s">
        <v>114</v>
      </c>
      <c r="M158" s="23" t="b">
        <v>1</v>
      </c>
    </row>
    <row r="159" spans="1:13">
      <c r="E159" s="4">
        <f t="shared" si="60"/>
        <v>159</v>
      </c>
      <c r="F159" s="9" t="s">
        <v>98</v>
      </c>
      <c r="K159" s="9" t="s">
        <v>137</v>
      </c>
      <c r="M159" s="23">
        <v>2</v>
      </c>
    </row>
    <row r="160" spans="1:13">
      <c r="E160" s="4">
        <f t="shared" si="60"/>
        <v>160</v>
      </c>
      <c r="F160" s="9" t="s">
        <v>30</v>
      </c>
      <c r="G160" s="9">
        <v>2.5</v>
      </c>
      <c r="I160" s="9">
        <v>0</v>
      </c>
      <c r="M160" s="23">
        <f t="shared" ref="M160" si="73">$G$16+$I$16*D151</f>
        <v>2.5</v>
      </c>
    </row>
    <row r="161" spans="1:13">
      <c r="E161" s="4">
        <f t="shared" si="60"/>
        <v>161</v>
      </c>
      <c r="F161" s="9" t="s">
        <v>31</v>
      </c>
      <c r="L161" s="9" t="s">
        <v>135</v>
      </c>
      <c r="M161" s="23" t="s">
        <v>231</v>
      </c>
    </row>
    <row r="162" spans="1:13">
      <c r="E162" s="4">
        <f t="shared" si="60"/>
        <v>162</v>
      </c>
      <c r="F162" s="9" t="s">
        <v>143</v>
      </c>
      <c r="G162" s="9">
        <v>30</v>
      </c>
      <c r="H162" s="9">
        <v>-30</v>
      </c>
      <c r="I162" s="9">
        <v>-10</v>
      </c>
      <c r="J162" s="9" t="s">
        <v>34</v>
      </c>
      <c r="L162" s="9" t="s">
        <v>134</v>
      </c>
      <c r="M162" s="23">
        <f t="shared" ref="M162" si="74">IF(MOD(QUOTIENT(D151-1,$G$8),2)=0,$G$18+$I$18*MOD(D151-1,$G$8),$H$18+$J$18*MOD(D151-1,$G$8))</f>
        <v>20</v>
      </c>
    </row>
    <row r="163" spans="1:13">
      <c r="A163" s="22" t="s">
        <v>227</v>
      </c>
      <c r="B163" s="22">
        <f t="shared" ref="B163" si="75">QUOTIENT( D163-1,G164)+1</f>
        <v>2</v>
      </c>
      <c r="C163" s="22">
        <f t="shared" ref="C163" si="76">D163-(B163-1)*G164</f>
        <v>7</v>
      </c>
      <c r="D163" s="22">
        <f>COUNT($D$6:$D162)+1</f>
        <v>14</v>
      </c>
      <c r="E163" s="4"/>
    </row>
    <row r="164" spans="1:13">
      <c r="E164" s="4">
        <f t="shared" si="60"/>
        <v>164</v>
      </c>
      <c r="F164" s="9" t="s">
        <v>93</v>
      </c>
      <c r="G164" s="9" t="s">
        <v>39</v>
      </c>
      <c r="H164" s="9" t="s">
        <v>39</v>
      </c>
      <c r="J164" s="9">
        <v>11100</v>
      </c>
      <c r="M164" s="23">
        <f t="shared" ref="M164" si="77">$J$8+D163</f>
        <v>11114</v>
      </c>
    </row>
    <row r="165" spans="1:13">
      <c r="E165" s="4">
        <f t="shared" si="60"/>
        <v>165</v>
      </c>
      <c r="F165" s="9" t="s">
        <v>144</v>
      </c>
      <c r="M165" s="23">
        <v>104020</v>
      </c>
    </row>
    <row r="166" spans="1:13">
      <c r="E166" s="4">
        <f t="shared" si="60"/>
        <v>166</v>
      </c>
      <c r="F166" s="9" t="s">
        <v>126</v>
      </c>
      <c r="G166" s="9">
        <v>-1</v>
      </c>
      <c r="H166" s="9">
        <v>10</v>
      </c>
      <c r="J166" s="9">
        <v>8</v>
      </c>
      <c r="M166" s="23">
        <f t="shared" ref="M166" si="78">H166*D163+$J$10+B163*G166</f>
        <v>146</v>
      </c>
    </row>
    <row r="167" spans="1:13">
      <c r="E167" s="4">
        <f t="shared" si="60"/>
        <v>167</v>
      </c>
      <c r="F167" s="9" t="s">
        <v>35</v>
      </c>
      <c r="M167" s="23">
        <v>1000</v>
      </c>
    </row>
    <row r="168" spans="1:13">
      <c r="E168" s="4">
        <f t="shared" si="60"/>
        <v>168</v>
      </c>
      <c r="F168" s="9" t="s">
        <v>29</v>
      </c>
      <c r="M168" s="23" t="s">
        <v>229</v>
      </c>
    </row>
    <row r="169" spans="1:13">
      <c r="E169" s="4">
        <f t="shared" si="60"/>
        <v>169</v>
      </c>
      <c r="F169" s="9" t="s">
        <v>118</v>
      </c>
      <c r="M169" s="23" t="s">
        <v>230</v>
      </c>
    </row>
    <row r="170" spans="1:13">
      <c r="E170" s="4">
        <f t="shared" si="60"/>
        <v>170</v>
      </c>
      <c r="F170" s="9" t="s">
        <v>114</v>
      </c>
      <c r="M170" s="23" t="b">
        <v>1</v>
      </c>
    </row>
    <row r="171" spans="1:13">
      <c r="E171" s="4">
        <f t="shared" si="60"/>
        <v>171</v>
      </c>
      <c r="F171" s="9" t="s">
        <v>98</v>
      </c>
      <c r="K171" s="9" t="s">
        <v>137</v>
      </c>
      <c r="M171" s="23">
        <v>2</v>
      </c>
    </row>
    <row r="172" spans="1:13">
      <c r="E172" s="4">
        <f t="shared" si="60"/>
        <v>172</v>
      </c>
      <c r="F172" s="9" t="s">
        <v>30</v>
      </c>
      <c r="G172" s="9">
        <v>2.5</v>
      </c>
      <c r="I172" s="9">
        <v>0</v>
      </c>
      <c r="M172" s="23">
        <f t="shared" ref="M172" si="79">$G$16+$I$16*D163</f>
        <v>2.5</v>
      </c>
    </row>
    <row r="173" spans="1:13">
      <c r="E173" s="4">
        <f t="shared" si="60"/>
        <v>173</v>
      </c>
      <c r="F173" s="9" t="s">
        <v>31</v>
      </c>
      <c r="L173" s="9" t="s">
        <v>135</v>
      </c>
      <c r="M173" s="23" t="s">
        <v>231</v>
      </c>
    </row>
    <row r="174" spans="1:13">
      <c r="E174" s="4">
        <f t="shared" si="60"/>
        <v>174</v>
      </c>
      <c r="F174" s="9" t="s">
        <v>143</v>
      </c>
      <c r="G174" s="9">
        <v>30</v>
      </c>
      <c r="H174" s="9">
        <v>-30</v>
      </c>
      <c r="I174" s="9">
        <v>-10</v>
      </c>
      <c r="J174" s="9" t="s">
        <v>34</v>
      </c>
      <c r="L174" s="9" t="s">
        <v>134</v>
      </c>
      <c r="M174" s="23">
        <f t="shared" ref="M174" si="80">IF(MOD(QUOTIENT(D163-1,$G$8),2)=0,$G$18+$I$18*MOD(D163-1,$G$8),$H$18+$J$18*MOD(D163-1,$G$8))</f>
        <v>30</v>
      </c>
    </row>
    <row r="175" spans="1:13">
      <c r="A175" s="22" t="s">
        <v>227</v>
      </c>
      <c r="B175" s="22">
        <f t="shared" ref="B175" si="81">QUOTIENT( D175-1,G176)+1</f>
        <v>3</v>
      </c>
      <c r="C175" s="22">
        <f t="shared" ref="C175" si="82">D175-(B175-1)*G176</f>
        <v>1</v>
      </c>
      <c r="D175" s="22">
        <f>COUNT($D$6:$D174)+1</f>
        <v>15</v>
      </c>
      <c r="E175" s="4"/>
    </row>
    <row r="176" spans="1:13">
      <c r="E176" s="4">
        <f t="shared" si="60"/>
        <v>176</v>
      </c>
      <c r="F176" s="9" t="s">
        <v>93</v>
      </c>
      <c r="G176" s="9" t="s">
        <v>39</v>
      </c>
      <c r="H176" s="9" t="s">
        <v>39</v>
      </c>
      <c r="J176" s="9">
        <v>11100</v>
      </c>
      <c r="M176" s="23">
        <f t="shared" ref="M176" si="83">$J$8+D175</f>
        <v>11115</v>
      </c>
    </row>
    <row r="177" spans="1:13">
      <c r="E177" s="4">
        <f t="shared" si="60"/>
        <v>177</v>
      </c>
      <c r="F177" s="9" t="s">
        <v>144</v>
      </c>
      <c r="M177" s="23">
        <v>104020</v>
      </c>
    </row>
    <row r="178" spans="1:13">
      <c r="E178" s="4">
        <f t="shared" si="60"/>
        <v>178</v>
      </c>
      <c r="F178" s="9" t="s">
        <v>126</v>
      </c>
      <c r="G178" s="9">
        <v>-1</v>
      </c>
      <c r="H178" s="9">
        <v>10</v>
      </c>
      <c r="J178" s="9">
        <v>8</v>
      </c>
      <c r="M178" s="23">
        <f t="shared" ref="M178" si="84">H178*D175+$J$10+B175*G178</f>
        <v>155</v>
      </c>
    </row>
    <row r="179" spans="1:13">
      <c r="E179" s="4">
        <f t="shared" si="60"/>
        <v>179</v>
      </c>
      <c r="F179" s="9" t="s">
        <v>35</v>
      </c>
      <c r="M179" s="23">
        <v>1000</v>
      </c>
    </row>
    <row r="180" spans="1:13">
      <c r="E180" s="4">
        <f t="shared" si="60"/>
        <v>180</v>
      </c>
      <c r="F180" s="9" t="s">
        <v>29</v>
      </c>
      <c r="M180" s="23" t="s">
        <v>229</v>
      </c>
    </row>
    <row r="181" spans="1:13">
      <c r="E181" s="4">
        <f t="shared" si="60"/>
        <v>181</v>
      </c>
      <c r="F181" s="9" t="s">
        <v>118</v>
      </c>
      <c r="M181" s="23" t="s">
        <v>230</v>
      </c>
    </row>
    <row r="182" spans="1:13">
      <c r="E182" s="4">
        <f t="shared" si="60"/>
        <v>182</v>
      </c>
      <c r="F182" s="9" t="s">
        <v>114</v>
      </c>
      <c r="M182" s="23" t="b">
        <v>1</v>
      </c>
    </row>
    <row r="183" spans="1:13">
      <c r="E183" s="4">
        <f t="shared" si="60"/>
        <v>183</v>
      </c>
      <c r="F183" s="9" t="s">
        <v>98</v>
      </c>
      <c r="K183" s="9" t="s">
        <v>137</v>
      </c>
      <c r="M183" s="23">
        <v>2</v>
      </c>
    </row>
    <row r="184" spans="1:13">
      <c r="E184" s="4">
        <f t="shared" si="60"/>
        <v>184</v>
      </c>
      <c r="F184" s="9" t="s">
        <v>30</v>
      </c>
      <c r="G184" s="9">
        <v>2.5</v>
      </c>
      <c r="I184" s="9">
        <v>0</v>
      </c>
      <c r="M184" s="23">
        <f t="shared" ref="M184" si="85">$G$16+$I$16*D175</f>
        <v>2.5</v>
      </c>
    </row>
    <row r="185" spans="1:13">
      <c r="E185" s="4">
        <f t="shared" si="60"/>
        <v>185</v>
      </c>
      <c r="F185" s="9" t="s">
        <v>31</v>
      </c>
      <c r="L185" s="9" t="s">
        <v>135</v>
      </c>
      <c r="M185" s="23" t="s">
        <v>231</v>
      </c>
    </row>
    <row r="186" spans="1:13">
      <c r="E186" s="4">
        <f t="shared" si="60"/>
        <v>186</v>
      </c>
      <c r="F186" s="9" t="s">
        <v>143</v>
      </c>
      <c r="G186" s="9">
        <v>30</v>
      </c>
      <c r="H186" s="9">
        <v>-30</v>
      </c>
      <c r="I186" s="9">
        <v>-10</v>
      </c>
      <c r="J186" s="9" t="s">
        <v>34</v>
      </c>
      <c r="L186" s="9" t="s">
        <v>134</v>
      </c>
      <c r="M186" s="23">
        <f t="shared" ref="M186" si="86">IF(MOD(QUOTIENT(D175-1,$G$8),2)=0,$G$18+$I$18*MOD(D175-1,$G$8),$H$18+$J$18*MOD(D175-1,$G$8))</f>
        <v>30</v>
      </c>
    </row>
    <row r="187" spans="1:13">
      <c r="A187" s="22" t="s">
        <v>227</v>
      </c>
      <c r="B187" s="22">
        <f t="shared" ref="B187" si="87">QUOTIENT( D187-1,G188)+1</f>
        <v>3</v>
      </c>
      <c r="C187" s="22">
        <f t="shared" ref="C187" si="88">D187-(B187-1)*G188</f>
        <v>2</v>
      </c>
      <c r="D187" s="22">
        <f>COUNT($D$6:$D186)+1</f>
        <v>16</v>
      </c>
      <c r="E187" s="4"/>
    </row>
    <row r="188" spans="1:13">
      <c r="E188" s="4">
        <f t="shared" si="60"/>
        <v>188</v>
      </c>
      <c r="F188" s="9" t="s">
        <v>93</v>
      </c>
      <c r="G188" s="9" t="s">
        <v>39</v>
      </c>
      <c r="H188" s="9" t="s">
        <v>39</v>
      </c>
      <c r="J188" s="9">
        <v>11100</v>
      </c>
      <c r="M188" s="23">
        <f t="shared" ref="M188" si="89">$J$8+D187</f>
        <v>11116</v>
      </c>
    </row>
    <row r="189" spans="1:13">
      <c r="E189" s="4">
        <f t="shared" si="60"/>
        <v>189</v>
      </c>
      <c r="F189" s="9" t="s">
        <v>144</v>
      </c>
      <c r="M189" s="23">
        <v>104020</v>
      </c>
    </row>
    <row r="190" spans="1:13">
      <c r="E190" s="4">
        <f t="shared" si="60"/>
        <v>190</v>
      </c>
      <c r="F190" s="9" t="s">
        <v>126</v>
      </c>
      <c r="G190" s="9">
        <v>-1</v>
      </c>
      <c r="H190" s="9">
        <v>10</v>
      </c>
      <c r="J190" s="9">
        <v>8</v>
      </c>
      <c r="M190" s="23">
        <f t="shared" ref="M190" si="90">H190*D187+$J$10+B187*G190</f>
        <v>165</v>
      </c>
    </row>
    <row r="191" spans="1:13">
      <c r="E191" s="4">
        <f t="shared" si="60"/>
        <v>191</v>
      </c>
      <c r="F191" s="9" t="s">
        <v>35</v>
      </c>
      <c r="M191" s="23">
        <v>1000</v>
      </c>
    </row>
    <row r="192" spans="1:13">
      <c r="E192" s="4">
        <f t="shared" si="60"/>
        <v>192</v>
      </c>
      <c r="F192" s="9" t="s">
        <v>29</v>
      </c>
      <c r="M192" s="23" t="s">
        <v>229</v>
      </c>
    </row>
    <row r="193" spans="1:13">
      <c r="E193" s="4">
        <f t="shared" si="60"/>
        <v>193</v>
      </c>
      <c r="F193" s="9" t="s">
        <v>118</v>
      </c>
      <c r="M193" s="23" t="s">
        <v>230</v>
      </c>
    </row>
    <row r="194" spans="1:13">
      <c r="E194" s="4">
        <f t="shared" si="60"/>
        <v>194</v>
      </c>
      <c r="F194" s="9" t="s">
        <v>114</v>
      </c>
      <c r="M194" s="23" t="b">
        <v>1</v>
      </c>
    </row>
    <row r="195" spans="1:13">
      <c r="E195" s="4">
        <f t="shared" si="60"/>
        <v>195</v>
      </c>
      <c r="F195" s="9" t="s">
        <v>98</v>
      </c>
      <c r="K195" s="9" t="s">
        <v>137</v>
      </c>
      <c r="M195" s="23">
        <v>2</v>
      </c>
    </row>
    <row r="196" spans="1:13">
      <c r="E196" s="4">
        <f t="shared" si="60"/>
        <v>196</v>
      </c>
      <c r="F196" s="9" t="s">
        <v>30</v>
      </c>
      <c r="G196" s="9">
        <v>2.5</v>
      </c>
      <c r="I196" s="9">
        <v>0</v>
      </c>
      <c r="M196" s="23">
        <f t="shared" ref="M196" si="91">$G$16+$I$16*D187</f>
        <v>2.5</v>
      </c>
    </row>
    <row r="197" spans="1:13">
      <c r="E197" s="4">
        <f t="shared" si="60"/>
        <v>197</v>
      </c>
      <c r="F197" s="9" t="s">
        <v>31</v>
      </c>
      <c r="L197" s="9" t="s">
        <v>135</v>
      </c>
      <c r="M197" s="23" t="s">
        <v>231</v>
      </c>
    </row>
    <row r="198" spans="1:13">
      <c r="E198" s="4">
        <f t="shared" si="60"/>
        <v>198</v>
      </c>
      <c r="F198" s="9" t="s">
        <v>143</v>
      </c>
      <c r="G198" s="9">
        <v>30</v>
      </c>
      <c r="H198" s="9">
        <v>-30</v>
      </c>
      <c r="I198" s="9">
        <v>-10</v>
      </c>
      <c r="J198" s="9" t="s">
        <v>34</v>
      </c>
      <c r="L198" s="9" t="s">
        <v>134</v>
      </c>
      <c r="M198" s="23">
        <f t="shared" ref="M198" si="92">IF(MOD(QUOTIENT(D187-1,$G$8),2)=0,$G$18+$I$18*MOD(D187-1,$G$8),$H$18+$J$18*MOD(D187-1,$G$8))</f>
        <v>20</v>
      </c>
    </row>
    <row r="199" spans="1:13">
      <c r="A199" s="22" t="s">
        <v>227</v>
      </c>
      <c r="B199" s="22">
        <f t="shared" ref="B199" si="93">QUOTIENT( D199-1,G200)+1</f>
        <v>3</v>
      </c>
      <c r="C199" s="22">
        <f t="shared" ref="C199" si="94">D199-(B199-1)*G200</f>
        <v>3</v>
      </c>
      <c r="D199" s="22">
        <f>COUNT($D$6:$D198)+1</f>
        <v>17</v>
      </c>
      <c r="E199" s="4"/>
    </row>
    <row r="200" spans="1:13">
      <c r="E200" s="4">
        <f t="shared" ref="E200:E263" si="95">ROW(E200)</f>
        <v>200</v>
      </c>
      <c r="F200" s="9" t="s">
        <v>93</v>
      </c>
      <c r="G200" s="9" t="s">
        <v>39</v>
      </c>
      <c r="H200" s="9" t="s">
        <v>39</v>
      </c>
      <c r="J200" s="9">
        <v>11100</v>
      </c>
      <c r="M200" s="23">
        <f t="shared" ref="M200" si="96">$J$8+D199</f>
        <v>11117</v>
      </c>
    </row>
    <row r="201" spans="1:13">
      <c r="E201" s="4">
        <f t="shared" si="95"/>
        <v>201</v>
      </c>
      <c r="F201" s="9" t="s">
        <v>144</v>
      </c>
      <c r="M201" s="23">
        <v>104020</v>
      </c>
    </row>
    <row r="202" spans="1:13">
      <c r="E202" s="4">
        <f t="shared" si="95"/>
        <v>202</v>
      </c>
      <c r="F202" s="9" t="s">
        <v>126</v>
      </c>
      <c r="G202" s="9">
        <v>-1</v>
      </c>
      <c r="H202" s="9">
        <v>10</v>
      </c>
      <c r="J202" s="9">
        <v>8</v>
      </c>
      <c r="M202" s="23">
        <f t="shared" ref="M202" si="97">H202*D199+$J$10+B199*G202</f>
        <v>175</v>
      </c>
    </row>
    <row r="203" spans="1:13">
      <c r="E203" s="4">
        <f t="shared" si="95"/>
        <v>203</v>
      </c>
      <c r="F203" s="9" t="s">
        <v>35</v>
      </c>
      <c r="M203" s="23">
        <v>1000</v>
      </c>
    </row>
    <row r="204" spans="1:13">
      <c r="E204" s="4">
        <f t="shared" si="95"/>
        <v>204</v>
      </c>
      <c r="F204" s="9" t="s">
        <v>29</v>
      </c>
      <c r="M204" s="23" t="s">
        <v>229</v>
      </c>
    </row>
    <row r="205" spans="1:13">
      <c r="E205" s="4">
        <f t="shared" si="95"/>
        <v>205</v>
      </c>
      <c r="F205" s="9" t="s">
        <v>118</v>
      </c>
      <c r="M205" s="23" t="s">
        <v>230</v>
      </c>
    </row>
    <row r="206" spans="1:13">
      <c r="E206" s="4">
        <f t="shared" si="95"/>
        <v>206</v>
      </c>
      <c r="F206" s="9" t="s">
        <v>114</v>
      </c>
      <c r="M206" s="23" t="b">
        <v>1</v>
      </c>
    </row>
    <row r="207" spans="1:13">
      <c r="E207" s="4">
        <f t="shared" si="95"/>
        <v>207</v>
      </c>
      <c r="F207" s="9" t="s">
        <v>98</v>
      </c>
      <c r="K207" s="9" t="s">
        <v>137</v>
      </c>
      <c r="M207" s="23">
        <v>2</v>
      </c>
    </row>
    <row r="208" spans="1:13">
      <c r="E208" s="4">
        <f t="shared" si="95"/>
        <v>208</v>
      </c>
      <c r="F208" s="9" t="s">
        <v>30</v>
      </c>
      <c r="G208" s="9">
        <v>2.5</v>
      </c>
      <c r="I208" s="9">
        <v>0</v>
      </c>
      <c r="M208" s="23">
        <f t="shared" ref="M208" si="98">$G$16+$I$16*D199</f>
        <v>2.5</v>
      </c>
    </row>
    <row r="209" spans="1:13">
      <c r="E209" s="4">
        <f t="shared" si="95"/>
        <v>209</v>
      </c>
      <c r="F209" s="9" t="s">
        <v>31</v>
      </c>
      <c r="L209" s="9" t="s">
        <v>135</v>
      </c>
      <c r="M209" s="23" t="s">
        <v>231</v>
      </c>
    </row>
    <row r="210" spans="1:13">
      <c r="E210" s="4">
        <f t="shared" si="95"/>
        <v>210</v>
      </c>
      <c r="F210" s="9" t="s">
        <v>143</v>
      </c>
      <c r="G210" s="9">
        <v>30</v>
      </c>
      <c r="H210" s="9">
        <v>-30</v>
      </c>
      <c r="I210" s="9">
        <v>-10</v>
      </c>
      <c r="J210" s="9" t="s">
        <v>34</v>
      </c>
      <c r="L210" s="9" t="s">
        <v>134</v>
      </c>
      <c r="M210" s="23">
        <f t="shared" ref="M210" si="99">IF(MOD(QUOTIENT(D199-1,$G$8),2)=0,$G$18+$I$18*MOD(D199-1,$G$8),$H$18+$J$18*MOD(D199-1,$G$8))</f>
        <v>10</v>
      </c>
    </row>
    <row r="211" spans="1:13">
      <c r="A211" s="22" t="s">
        <v>227</v>
      </c>
      <c r="B211" s="22">
        <f t="shared" ref="B211" si="100">QUOTIENT( D211-1,G212)+1</f>
        <v>3</v>
      </c>
      <c r="C211" s="22">
        <f t="shared" ref="C211" si="101">D211-(B211-1)*G212</f>
        <v>4</v>
      </c>
      <c r="D211" s="22">
        <f>COUNT($D$6:$D210)+1</f>
        <v>18</v>
      </c>
      <c r="E211" s="4"/>
    </row>
    <row r="212" spans="1:13">
      <c r="E212" s="4">
        <f t="shared" si="95"/>
        <v>212</v>
      </c>
      <c r="F212" s="9" t="s">
        <v>93</v>
      </c>
      <c r="G212" s="9" t="s">
        <v>39</v>
      </c>
      <c r="H212" s="9" t="s">
        <v>39</v>
      </c>
      <c r="J212" s="9">
        <v>11100</v>
      </c>
      <c r="M212" s="23">
        <f t="shared" ref="M212" si="102">$J$8+D211</f>
        <v>11118</v>
      </c>
    </row>
    <row r="213" spans="1:13">
      <c r="E213" s="4">
        <f t="shared" si="95"/>
        <v>213</v>
      </c>
      <c r="F213" s="9" t="s">
        <v>144</v>
      </c>
      <c r="M213" s="23">
        <v>104020</v>
      </c>
    </row>
    <row r="214" spans="1:13">
      <c r="E214" s="4">
        <f t="shared" si="95"/>
        <v>214</v>
      </c>
      <c r="F214" s="9" t="s">
        <v>126</v>
      </c>
      <c r="G214" s="9">
        <v>-1</v>
      </c>
      <c r="H214" s="9">
        <v>10</v>
      </c>
      <c r="J214" s="9">
        <v>8</v>
      </c>
      <c r="M214" s="23">
        <f t="shared" ref="M214" si="103">H214*D211+$J$10+B211*G214</f>
        <v>185</v>
      </c>
    </row>
    <row r="215" spans="1:13">
      <c r="E215" s="4">
        <f t="shared" si="95"/>
        <v>215</v>
      </c>
      <c r="F215" s="9" t="s">
        <v>35</v>
      </c>
      <c r="M215" s="23">
        <v>1000</v>
      </c>
    </row>
    <row r="216" spans="1:13">
      <c r="E216" s="4">
        <f t="shared" si="95"/>
        <v>216</v>
      </c>
      <c r="F216" s="9" t="s">
        <v>29</v>
      </c>
      <c r="M216" s="23" t="s">
        <v>229</v>
      </c>
    </row>
    <row r="217" spans="1:13">
      <c r="E217" s="4">
        <f t="shared" si="95"/>
        <v>217</v>
      </c>
      <c r="F217" s="9" t="s">
        <v>118</v>
      </c>
      <c r="M217" s="23" t="s">
        <v>230</v>
      </c>
    </row>
    <row r="218" spans="1:13">
      <c r="E218" s="4">
        <f t="shared" si="95"/>
        <v>218</v>
      </c>
      <c r="F218" s="9" t="s">
        <v>114</v>
      </c>
      <c r="M218" s="23" t="b">
        <v>1</v>
      </c>
    </row>
    <row r="219" spans="1:13">
      <c r="E219" s="4">
        <f t="shared" si="95"/>
        <v>219</v>
      </c>
      <c r="F219" s="9" t="s">
        <v>98</v>
      </c>
      <c r="K219" s="9" t="s">
        <v>137</v>
      </c>
      <c r="M219" s="23">
        <v>2</v>
      </c>
    </row>
    <row r="220" spans="1:13">
      <c r="E220" s="4">
        <f t="shared" si="95"/>
        <v>220</v>
      </c>
      <c r="F220" s="9" t="s">
        <v>30</v>
      </c>
      <c r="G220" s="9">
        <v>2.5</v>
      </c>
      <c r="I220" s="9">
        <v>0</v>
      </c>
      <c r="M220" s="23">
        <f t="shared" ref="M220" si="104">$G$16+$I$16*D211</f>
        <v>2.5</v>
      </c>
    </row>
    <row r="221" spans="1:13">
      <c r="E221" s="4">
        <f t="shared" si="95"/>
        <v>221</v>
      </c>
      <c r="F221" s="9" t="s">
        <v>31</v>
      </c>
      <c r="L221" s="9" t="s">
        <v>135</v>
      </c>
      <c r="M221" s="23" t="s">
        <v>231</v>
      </c>
    </row>
    <row r="222" spans="1:13">
      <c r="E222" s="4">
        <f t="shared" si="95"/>
        <v>222</v>
      </c>
      <c r="F222" s="9" t="s">
        <v>143</v>
      </c>
      <c r="G222" s="9">
        <v>30</v>
      </c>
      <c r="H222" s="9">
        <v>-30</v>
      </c>
      <c r="I222" s="9">
        <v>-10</v>
      </c>
      <c r="J222" s="9" t="s">
        <v>34</v>
      </c>
      <c r="L222" s="9" t="s">
        <v>134</v>
      </c>
      <c r="M222" s="23">
        <f t="shared" ref="M222" si="105">IF(MOD(QUOTIENT(D211-1,$G$8),2)=0,$G$18+$I$18*MOD(D211-1,$G$8),$H$18+$J$18*MOD(D211-1,$G$8))</f>
        <v>0</v>
      </c>
    </row>
    <row r="223" spans="1:13">
      <c r="A223" s="22" t="s">
        <v>227</v>
      </c>
      <c r="B223" s="22">
        <f t="shared" ref="B223" si="106">QUOTIENT( D223-1,G224)+1</f>
        <v>3</v>
      </c>
      <c r="C223" s="22">
        <f t="shared" ref="C223" si="107">D223-(B223-1)*G224</f>
        <v>5</v>
      </c>
      <c r="D223" s="22">
        <f>COUNT($D$6:$D222)+1</f>
        <v>19</v>
      </c>
      <c r="E223" s="4"/>
    </row>
    <row r="224" spans="1:13">
      <c r="E224" s="4">
        <f t="shared" si="95"/>
        <v>224</v>
      </c>
      <c r="F224" s="9" t="s">
        <v>93</v>
      </c>
      <c r="G224" s="9" t="s">
        <v>39</v>
      </c>
      <c r="H224" s="9" t="s">
        <v>39</v>
      </c>
      <c r="J224" s="9">
        <v>11100</v>
      </c>
      <c r="M224" s="23">
        <f t="shared" ref="M224" si="108">$J$8+D223</f>
        <v>11119</v>
      </c>
    </row>
    <row r="225" spans="1:13">
      <c r="E225" s="4">
        <f t="shared" si="95"/>
        <v>225</v>
      </c>
      <c r="F225" s="9" t="s">
        <v>144</v>
      </c>
      <c r="M225" s="23">
        <v>104020</v>
      </c>
    </row>
    <row r="226" spans="1:13">
      <c r="E226" s="4">
        <f t="shared" si="95"/>
        <v>226</v>
      </c>
      <c r="F226" s="9" t="s">
        <v>126</v>
      </c>
      <c r="G226" s="9">
        <v>-1</v>
      </c>
      <c r="H226" s="9">
        <v>10</v>
      </c>
      <c r="J226" s="9">
        <v>8</v>
      </c>
      <c r="M226" s="23">
        <f t="shared" ref="M226" si="109">H226*D223+$J$10+B223*G226</f>
        <v>195</v>
      </c>
    </row>
    <row r="227" spans="1:13">
      <c r="E227" s="4">
        <f t="shared" si="95"/>
        <v>227</v>
      </c>
      <c r="F227" s="9" t="s">
        <v>35</v>
      </c>
      <c r="M227" s="23">
        <v>1000</v>
      </c>
    </row>
    <row r="228" spans="1:13">
      <c r="E228" s="4">
        <f t="shared" si="95"/>
        <v>228</v>
      </c>
      <c r="F228" s="9" t="s">
        <v>29</v>
      </c>
      <c r="M228" s="23" t="s">
        <v>229</v>
      </c>
    </row>
    <row r="229" spans="1:13">
      <c r="E229" s="4">
        <f t="shared" si="95"/>
        <v>229</v>
      </c>
      <c r="F229" s="9" t="s">
        <v>118</v>
      </c>
      <c r="M229" s="23" t="s">
        <v>230</v>
      </c>
    </row>
    <row r="230" spans="1:13">
      <c r="E230" s="4">
        <f t="shared" si="95"/>
        <v>230</v>
      </c>
      <c r="F230" s="9" t="s">
        <v>114</v>
      </c>
      <c r="M230" s="23" t="b">
        <v>1</v>
      </c>
    </row>
    <row r="231" spans="1:13">
      <c r="E231" s="4">
        <f t="shared" si="95"/>
        <v>231</v>
      </c>
      <c r="F231" s="9" t="s">
        <v>98</v>
      </c>
      <c r="K231" s="9" t="s">
        <v>137</v>
      </c>
      <c r="M231" s="23">
        <v>2</v>
      </c>
    </row>
    <row r="232" spans="1:13">
      <c r="E232" s="4">
        <f t="shared" si="95"/>
        <v>232</v>
      </c>
      <c r="F232" s="9" t="s">
        <v>30</v>
      </c>
      <c r="G232" s="9">
        <v>2.5</v>
      </c>
      <c r="I232" s="9">
        <v>0</v>
      </c>
      <c r="M232" s="23">
        <f t="shared" ref="M232" si="110">$G$16+$I$16*D223</f>
        <v>2.5</v>
      </c>
    </row>
    <row r="233" spans="1:13">
      <c r="E233" s="4">
        <f t="shared" si="95"/>
        <v>233</v>
      </c>
      <c r="F233" s="9" t="s">
        <v>31</v>
      </c>
      <c r="L233" s="9" t="s">
        <v>135</v>
      </c>
      <c r="M233" s="23" t="s">
        <v>231</v>
      </c>
    </row>
    <row r="234" spans="1:13">
      <c r="E234" s="4">
        <f t="shared" si="95"/>
        <v>234</v>
      </c>
      <c r="F234" s="9" t="s">
        <v>143</v>
      </c>
      <c r="G234" s="9">
        <v>30</v>
      </c>
      <c r="H234" s="9">
        <v>-30</v>
      </c>
      <c r="I234" s="9">
        <v>-10</v>
      </c>
      <c r="J234" s="9" t="s">
        <v>34</v>
      </c>
      <c r="L234" s="9" t="s">
        <v>134</v>
      </c>
      <c r="M234" s="23">
        <f t="shared" ref="M234" si="111">IF(MOD(QUOTIENT(D223-1,$G$8),2)=0,$G$18+$I$18*MOD(D223-1,$G$8),$H$18+$J$18*MOD(D223-1,$G$8))</f>
        <v>-10</v>
      </c>
    </row>
    <row r="235" spans="1:13">
      <c r="A235" s="22" t="s">
        <v>227</v>
      </c>
      <c r="B235" s="22">
        <f t="shared" ref="B235" si="112">QUOTIENT( D235-1,G236)+1</f>
        <v>3</v>
      </c>
      <c r="C235" s="22">
        <f t="shared" ref="C235" si="113">D235-(B235-1)*G236</f>
        <v>6</v>
      </c>
      <c r="D235" s="22">
        <f>COUNT($D$6:$D234)+1</f>
        <v>20</v>
      </c>
      <c r="E235" s="4"/>
    </row>
    <row r="236" spans="1:13">
      <c r="E236" s="4">
        <f t="shared" si="95"/>
        <v>236</v>
      </c>
      <c r="F236" s="9" t="s">
        <v>93</v>
      </c>
      <c r="G236" s="9" t="s">
        <v>39</v>
      </c>
      <c r="H236" s="9" t="s">
        <v>39</v>
      </c>
      <c r="J236" s="9">
        <v>11100</v>
      </c>
      <c r="M236" s="23">
        <f t="shared" ref="M236" si="114">$J$8+D235</f>
        <v>11120</v>
      </c>
    </row>
    <row r="237" spans="1:13">
      <c r="E237" s="4">
        <f t="shared" si="95"/>
        <v>237</v>
      </c>
      <c r="F237" s="9" t="s">
        <v>144</v>
      </c>
      <c r="M237" s="23">
        <v>104020</v>
      </c>
    </row>
    <row r="238" spans="1:13">
      <c r="E238" s="4">
        <f t="shared" si="95"/>
        <v>238</v>
      </c>
      <c r="F238" s="9" t="s">
        <v>126</v>
      </c>
      <c r="G238" s="9">
        <v>-1</v>
      </c>
      <c r="H238" s="9">
        <v>10</v>
      </c>
      <c r="J238" s="9">
        <v>8</v>
      </c>
      <c r="M238" s="23">
        <f t="shared" ref="M238" si="115">H238*D235+$J$10+B235*G238</f>
        <v>205</v>
      </c>
    </row>
    <row r="239" spans="1:13">
      <c r="E239" s="4">
        <f t="shared" si="95"/>
        <v>239</v>
      </c>
      <c r="F239" s="9" t="s">
        <v>35</v>
      </c>
      <c r="M239" s="23">
        <v>1000</v>
      </c>
    </row>
    <row r="240" spans="1:13">
      <c r="E240" s="4">
        <f t="shared" si="95"/>
        <v>240</v>
      </c>
      <c r="F240" s="9" t="s">
        <v>29</v>
      </c>
      <c r="M240" s="23" t="s">
        <v>229</v>
      </c>
    </row>
    <row r="241" spans="1:13">
      <c r="E241" s="4">
        <f t="shared" si="95"/>
        <v>241</v>
      </c>
      <c r="F241" s="9" t="s">
        <v>118</v>
      </c>
      <c r="M241" s="23" t="s">
        <v>230</v>
      </c>
    </row>
    <row r="242" spans="1:13">
      <c r="E242" s="4">
        <f t="shared" si="95"/>
        <v>242</v>
      </c>
      <c r="F242" s="9" t="s">
        <v>114</v>
      </c>
      <c r="M242" s="23" t="b">
        <v>1</v>
      </c>
    </row>
    <row r="243" spans="1:13">
      <c r="E243" s="4">
        <f t="shared" si="95"/>
        <v>243</v>
      </c>
      <c r="F243" s="9" t="s">
        <v>98</v>
      </c>
      <c r="K243" s="9" t="s">
        <v>137</v>
      </c>
      <c r="M243" s="23">
        <v>2</v>
      </c>
    </row>
    <row r="244" spans="1:13">
      <c r="E244" s="4">
        <f t="shared" si="95"/>
        <v>244</v>
      </c>
      <c r="F244" s="9" t="s">
        <v>30</v>
      </c>
      <c r="G244" s="9">
        <v>2.5</v>
      </c>
      <c r="I244" s="9">
        <v>0</v>
      </c>
      <c r="M244" s="23">
        <f t="shared" ref="M244" si="116">$G$16+$I$16*D235</f>
        <v>2.5</v>
      </c>
    </row>
    <row r="245" spans="1:13">
      <c r="E245" s="4">
        <f t="shared" si="95"/>
        <v>245</v>
      </c>
      <c r="F245" s="9" t="s">
        <v>31</v>
      </c>
      <c r="L245" s="9" t="s">
        <v>135</v>
      </c>
      <c r="M245" s="23" t="s">
        <v>231</v>
      </c>
    </row>
    <row r="246" spans="1:13">
      <c r="E246" s="4">
        <f t="shared" si="95"/>
        <v>246</v>
      </c>
      <c r="F246" s="9" t="s">
        <v>143</v>
      </c>
      <c r="G246" s="9">
        <v>30</v>
      </c>
      <c r="H246" s="9">
        <v>-30</v>
      </c>
      <c r="I246" s="9">
        <v>-10</v>
      </c>
      <c r="J246" s="9" t="s">
        <v>34</v>
      </c>
      <c r="L246" s="9" t="s">
        <v>134</v>
      </c>
      <c r="M246" s="23">
        <f t="shared" ref="M246" si="117">IF(MOD(QUOTIENT(D235-1,$G$8),2)=0,$G$18+$I$18*MOD(D235-1,$G$8),$H$18+$J$18*MOD(D235-1,$G$8))</f>
        <v>-20</v>
      </c>
    </row>
    <row r="247" spans="1:13">
      <c r="A247" s="22" t="s">
        <v>227</v>
      </c>
      <c r="B247" s="22">
        <f t="shared" ref="B247" si="118">QUOTIENT( D247-1,G248)+1</f>
        <v>3</v>
      </c>
      <c r="C247" s="22">
        <f t="shared" ref="C247" si="119">D247-(B247-1)*G248</f>
        <v>7</v>
      </c>
      <c r="D247" s="22">
        <f>COUNT($D$6:$D246)+1</f>
        <v>21</v>
      </c>
      <c r="E247" s="4"/>
    </row>
    <row r="248" spans="1:13">
      <c r="E248" s="4">
        <f t="shared" si="95"/>
        <v>248</v>
      </c>
      <c r="F248" s="9" t="s">
        <v>93</v>
      </c>
      <c r="G248" s="9" t="s">
        <v>39</v>
      </c>
      <c r="H248" s="9" t="s">
        <v>39</v>
      </c>
      <c r="J248" s="9">
        <v>11100</v>
      </c>
      <c r="M248" s="23">
        <f t="shared" ref="M248" si="120">$J$8+D247</f>
        <v>11121</v>
      </c>
    </row>
    <row r="249" spans="1:13">
      <c r="E249" s="4">
        <f t="shared" si="95"/>
        <v>249</v>
      </c>
      <c r="F249" s="9" t="s">
        <v>144</v>
      </c>
      <c r="M249" s="23">
        <v>104020</v>
      </c>
    </row>
    <row r="250" spans="1:13">
      <c r="E250" s="4">
        <f t="shared" si="95"/>
        <v>250</v>
      </c>
      <c r="F250" s="9" t="s">
        <v>126</v>
      </c>
      <c r="G250" s="9">
        <v>-1</v>
      </c>
      <c r="H250" s="9">
        <v>10</v>
      </c>
      <c r="J250" s="9">
        <v>8</v>
      </c>
      <c r="M250" s="23">
        <f t="shared" ref="M250" si="121">H250*D247+$J$10+B247*G250</f>
        <v>215</v>
      </c>
    </row>
    <row r="251" spans="1:13">
      <c r="E251" s="4">
        <f t="shared" si="95"/>
        <v>251</v>
      </c>
      <c r="F251" s="9" t="s">
        <v>35</v>
      </c>
      <c r="M251" s="23">
        <v>1000</v>
      </c>
    </row>
    <row r="252" spans="1:13">
      <c r="E252" s="4">
        <f t="shared" si="95"/>
        <v>252</v>
      </c>
      <c r="F252" s="9" t="s">
        <v>29</v>
      </c>
      <c r="M252" s="23" t="s">
        <v>229</v>
      </c>
    </row>
    <row r="253" spans="1:13">
      <c r="E253" s="4">
        <f t="shared" si="95"/>
        <v>253</v>
      </c>
      <c r="F253" s="9" t="s">
        <v>118</v>
      </c>
      <c r="M253" s="23" t="s">
        <v>230</v>
      </c>
    </row>
    <row r="254" spans="1:13">
      <c r="E254" s="4">
        <f t="shared" si="95"/>
        <v>254</v>
      </c>
      <c r="F254" s="9" t="s">
        <v>114</v>
      </c>
      <c r="M254" s="23" t="b">
        <v>1</v>
      </c>
    </row>
    <row r="255" spans="1:13">
      <c r="E255" s="4">
        <f t="shared" si="95"/>
        <v>255</v>
      </c>
      <c r="F255" s="9" t="s">
        <v>98</v>
      </c>
      <c r="K255" s="9" t="s">
        <v>137</v>
      </c>
      <c r="M255" s="23">
        <v>2</v>
      </c>
    </row>
    <row r="256" spans="1:13">
      <c r="E256" s="4">
        <f t="shared" si="95"/>
        <v>256</v>
      </c>
      <c r="F256" s="9" t="s">
        <v>30</v>
      </c>
      <c r="G256" s="9">
        <v>2.5</v>
      </c>
      <c r="I256" s="9">
        <v>0</v>
      </c>
      <c r="M256" s="23">
        <f t="shared" ref="M256" si="122">$G$16+$I$16*D247</f>
        <v>2.5</v>
      </c>
    </row>
    <row r="257" spans="1:13">
      <c r="E257" s="4">
        <f t="shared" si="95"/>
        <v>257</v>
      </c>
      <c r="F257" s="9" t="s">
        <v>31</v>
      </c>
      <c r="L257" s="9" t="s">
        <v>135</v>
      </c>
      <c r="M257" s="23" t="s">
        <v>231</v>
      </c>
    </row>
    <row r="258" spans="1:13">
      <c r="E258" s="4">
        <f t="shared" si="95"/>
        <v>258</v>
      </c>
      <c r="F258" s="9" t="s">
        <v>143</v>
      </c>
      <c r="G258" s="9">
        <v>30</v>
      </c>
      <c r="H258" s="9">
        <v>-30</v>
      </c>
      <c r="I258" s="9">
        <v>-10</v>
      </c>
      <c r="J258" s="9" t="s">
        <v>34</v>
      </c>
      <c r="L258" s="9" t="s">
        <v>134</v>
      </c>
      <c r="M258" s="23">
        <f t="shared" ref="M258" si="123">IF(MOD(QUOTIENT(D247-1,$G$8),2)=0,$G$18+$I$18*MOD(D247-1,$G$8),$H$18+$J$18*MOD(D247-1,$G$8))</f>
        <v>-30</v>
      </c>
    </row>
    <row r="259" spans="1:13">
      <c r="A259" s="22" t="s">
        <v>227</v>
      </c>
      <c r="B259" s="22">
        <f t="shared" ref="B259" si="124">QUOTIENT( D259-1,G260)+1</f>
        <v>4</v>
      </c>
      <c r="C259" s="22">
        <f t="shared" ref="C259" si="125">D259-(B259-1)*G260</f>
        <v>1</v>
      </c>
      <c r="D259" s="22">
        <f>COUNT($D$6:$D258)+1</f>
        <v>22</v>
      </c>
      <c r="E259" s="4"/>
    </row>
    <row r="260" spans="1:13">
      <c r="E260" s="4">
        <f t="shared" si="95"/>
        <v>260</v>
      </c>
      <c r="F260" s="9" t="s">
        <v>93</v>
      </c>
      <c r="G260" s="9" t="s">
        <v>39</v>
      </c>
      <c r="H260" s="9" t="s">
        <v>39</v>
      </c>
      <c r="J260" s="9">
        <v>11100</v>
      </c>
      <c r="M260" s="23">
        <f t="shared" ref="M260" si="126">$J$8+D259</f>
        <v>11122</v>
      </c>
    </row>
    <row r="261" spans="1:13">
      <c r="E261" s="4">
        <f t="shared" si="95"/>
        <v>261</v>
      </c>
      <c r="F261" s="9" t="s">
        <v>144</v>
      </c>
      <c r="M261" s="23">
        <v>104020</v>
      </c>
    </row>
    <row r="262" spans="1:13">
      <c r="E262" s="4">
        <f t="shared" si="95"/>
        <v>262</v>
      </c>
      <c r="F262" s="9" t="s">
        <v>126</v>
      </c>
      <c r="G262" s="9">
        <v>-1</v>
      </c>
      <c r="H262" s="9">
        <v>10</v>
      </c>
      <c r="J262" s="9">
        <v>8</v>
      </c>
      <c r="M262" s="23">
        <f t="shared" ref="M262" si="127">H262*D259+$J$10+B259*G262</f>
        <v>224</v>
      </c>
    </row>
    <row r="263" spans="1:13">
      <c r="E263" s="4">
        <f t="shared" si="95"/>
        <v>263</v>
      </c>
      <c r="F263" s="9" t="s">
        <v>35</v>
      </c>
      <c r="M263" s="23">
        <v>1000</v>
      </c>
    </row>
    <row r="264" spans="1:13">
      <c r="E264" s="4">
        <f t="shared" ref="E264:E327" si="128">ROW(E264)</f>
        <v>264</v>
      </c>
      <c r="F264" s="9" t="s">
        <v>29</v>
      </c>
      <c r="M264" s="23" t="s">
        <v>229</v>
      </c>
    </row>
    <row r="265" spans="1:13">
      <c r="E265" s="4">
        <f t="shared" si="128"/>
        <v>265</v>
      </c>
      <c r="F265" s="9" t="s">
        <v>118</v>
      </c>
      <c r="M265" s="23" t="s">
        <v>230</v>
      </c>
    </row>
    <row r="266" spans="1:13">
      <c r="E266" s="4">
        <f t="shared" si="128"/>
        <v>266</v>
      </c>
      <c r="F266" s="9" t="s">
        <v>114</v>
      </c>
      <c r="M266" s="23" t="b">
        <v>1</v>
      </c>
    </row>
    <row r="267" spans="1:13">
      <c r="E267" s="4">
        <f t="shared" si="128"/>
        <v>267</v>
      </c>
      <c r="F267" s="9" t="s">
        <v>98</v>
      </c>
      <c r="K267" s="9" t="s">
        <v>137</v>
      </c>
      <c r="M267" s="23">
        <v>2</v>
      </c>
    </row>
    <row r="268" spans="1:13">
      <c r="E268" s="4">
        <f t="shared" si="128"/>
        <v>268</v>
      </c>
      <c r="F268" s="9" t="s">
        <v>30</v>
      </c>
      <c r="G268" s="9">
        <v>2.5</v>
      </c>
      <c r="I268" s="9">
        <v>0</v>
      </c>
      <c r="M268" s="23">
        <f t="shared" ref="M268" si="129">$G$16+$I$16*D259</f>
        <v>2.5</v>
      </c>
    </row>
    <row r="269" spans="1:13">
      <c r="E269" s="4">
        <f t="shared" si="128"/>
        <v>269</v>
      </c>
      <c r="F269" s="9" t="s">
        <v>31</v>
      </c>
      <c r="L269" s="9" t="s">
        <v>135</v>
      </c>
      <c r="M269" s="23" t="s">
        <v>231</v>
      </c>
    </row>
    <row r="270" spans="1:13">
      <c r="E270" s="4">
        <f t="shared" si="128"/>
        <v>270</v>
      </c>
      <c r="F270" s="9" t="s">
        <v>143</v>
      </c>
      <c r="G270" s="9">
        <v>30</v>
      </c>
      <c r="H270" s="9">
        <v>-30</v>
      </c>
      <c r="I270" s="9">
        <v>-10</v>
      </c>
      <c r="J270" s="9" t="s">
        <v>34</v>
      </c>
      <c r="L270" s="9" t="s">
        <v>134</v>
      </c>
      <c r="M270" s="23">
        <f t="shared" ref="M270" si="130">IF(MOD(QUOTIENT(D259-1,$G$8),2)=0,$G$18+$I$18*MOD(D259-1,$G$8),$H$18+$J$18*MOD(D259-1,$G$8))</f>
        <v>-30</v>
      </c>
    </row>
    <row r="271" spans="1:13">
      <c r="A271" s="22" t="s">
        <v>227</v>
      </c>
      <c r="B271" s="22">
        <f t="shared" ref="B271" si="131">QUOTIENT( D271-1,G272)+1</f>
        <v>4</v>
      </c>
      <c r="C271" s="22">
        <f t="shared" ref="C271" si="132">D271-(B271-1)*G272</f>
        <v>2</v>
      </c>
      <c r="D271" s="22">
        <f>COUNT($D$6:$D270)+1</f>
        <v>23</v>
      </c>
      <c r="E271" s="4"/>
    </row>
    <row r="272" spans="1:13">
      <c r="E272" s="4">
        <f t="shared" si="128"/>
        <v>272</v>
      </c>
      <c r="F272" s="9" t="s">
        <v>93</v>
      </c>
      <c r="G272" s="9" t="s">
        <v>39</v>
      </c>
      <c r="H272" s="9" t="s">
        <v>39</v>
      </c>
      <c r="J272" s="9">
        <v>11100</v>
      </c>
      <c r="M272" s="23">
        <f t="shared" ref="M272" si="133">$J$8+D271</f>
        <v>11123</v>
      </c>
    </row>
    <row r="273" spans="1:13">
      <c r="E273" s="4">
        <f t="shared" si="128"/>
        <v>273</v>
      </c>
      <c r="F273" s="9" t="s">
        <v>144</v>
      </c>
      <c r="M273" s="23">
        <v>104020</v>
      </c>
    </row>
    <row r="274" spans="1:13">
      <c r="E274" s="4">
        <f t="shared" si="128"/>
        <v>274</v>
      </c>
      <c r="F274" s="9" t="s">
        <v>126</v>
      </c>
      <c r="G274" s="9">
        <v>-1</v>
      </c>
      <c r="H274" s="9">
        <v>10</v>
      </c>
      <c r="J274" s="9">
        <v>8</v>
      </c>
      <c r="M274" s="23">
        <f t="shared" ref="M274" si="134">H274*D271+$J$10+B271*G274</f>
        <v>234</v>
      </c>
    </row>
    <row r="275" spans="1:13">
      <c r="E275" s="4">
        <f t="shared" si="128"/>
        <v>275</v>
      </c>
      <c r="F275" s="9" t="s">
        <v>35</v>
      </c>
      <c r="M275" s="23">
        <v>1000</v>
      </c>
    </row>
    <row r="276" spans="1:13">
      <c r="E276" s="4">
        <f t="shared" si="128"/>
        <v>276</v>
      </c>
      <c r="F276" s="9" t="s">
        <v>29</v>
      </c>
      <c r="M276" s="23" t="s">
        <v>229</v>
      </c>
    </row>
    <row r="277" spans="1:13">
      <c r="E277" s="4">
        <f t="shared" si="128"/>
        <v>277</v>
      </c>
      <c r="F277" s="9" t="s">
        <v>118</v>
      </c>
      <c r="M277" s="23" t="s">
        <v>230</v>
      </c>
    </row>
    <row r="278" spans="1:13">
      <c r="E278" s="4">
        <f t="shared" si="128"/>
        <v>278</v>
      </c>
      <c r="F278" s="9" t="s">
        <v>114</v>
      </c>
      <c r="M278" s="23" t="b">
        <v>1</v>
      </c>
    </row>
    <row r="279" spans="1:13">
      <c r="E279" s="4">
        <f t="shared" si="128"/>
        <v>279</v>
      </c>
      <c r="F279" s="9" t="s">
        <v>98</v>
      </c>
      <c r="K279" s="9" t="s">
        <v>137</v>
      </c>
      <c r="M279" s="23">
        <v>2</v>
      </c>
    </row>
    <row r="280" spans="1:13">
      <c r="E280" s="4">
        <f t="shared" si="128"/>
        <v>280</v>
      </c>
      <c r="F280" s="9" t="s">
        <v>30</v>
      </c>
      <c r="G280" s="9">
        <v>2.5</v>
      </c>
      <c r="I280" s="9">
        <v>0</v>
      </c>
      <c r="M280" s="23">
        <f t="shared" ref="M280" si="135">$G$16+$I$16*D271</f>
        <v>2.5</v>
      </c>
    </row>
    <row r="281" spans="1:13">
      <c r="E281" s="4">
        <f t="shared" si="128"/>
        <v>281</v>
      </c>
      <c r="F281" s="9" t="s">
        <v>31</v>
      </c>
      <c r="L281" s="9" t="s">
        <v>135</v>
      </c>
      <c r="M281" s="23" t="s">
        <v>231</v>
      </c>
    </row>
    <row r="282" spans="1:13">
      <c r="E282" s="4">
        <f t="shared" si="128"/>
        <v>282</v>
      </c>
      <c r="F282" s="9" t="s">
        <v>143</v>
      </c>
      <c r="G282" s="9">
        <v>30</v>
      </c>
      <c r="H282" s="9">
        <v>-30</v>
      </c>
      <c r="I282" s="9">
        <v>-10</v>
      </c>
      <c r="J282" s="9" t="s">
        <v>34</v>
      </c>
      <c r="L282" s="9" t="s">
        <v>134</v>
      </c>
      <c r="M282" s="23">
        <f t="shared" ref="M282" si="136">IF(MOD(QUOTIENT(D271-1,$G$8),2)=0,$G$18+$I$18*MOD(D271-1,$G$8),$H$18+$J$18*MOD(D271-1,$G$8))</f>
        <v>-20</v>
      </c>
    </row>
    <row r="283" spans="1:13">
      <c r="A283" s="22" t="s">
        <v>227</v>
      </c>
      <c r="B283" s="22">
        <f t="shared" ref="B283" si="137">QUOTIENT( D283-1,G284)+1</f>
        <v>4</v>
      </c>
      <c r="C283" s="22">
        <f t="shared" ref="C283" si="138">D283-(B283-1)*G284</f>
        <v>3</v>
      </c>
      <c r="D283" s="22">
        <f>COUNT($D$6:$D282)+1</f>
        <v>24</v>
      </c>
      <c r="E283" s="4"/>
    </row>
    <row r="284" spans="1:13">
      <c r="E284" s="4">
        <f t="shared" si="128"/>
        <v>284</v>
      </c>
      <c r="F284" s="9" t="s">
        <v>93</v>
      </c>
      <c r="G284" s="9" t="s">
        <v>39</v>
      </c>
      <c r="H284" s="9" t="s">
        <v>39</v>
      </c>
      <c r="J284" s="9">
        <v>11100</v>
      </c>
      <c r="M284" s="23">
        <f t="shared" ref="M284" si="139">$J$8+D283</f>
        <v>11124</v>
      </c>
    </row>
    <row r="285" spans="1:13">
      <c r="E285" s="4">
        <f t="shared" si="128"/>
        <v>285</v>
      </c>
      <c r="F285" s="9" t="s">
        <v>144</v>
      </c>
      <c r="M285" s="23">
        <v>104020</v>
      </c>
    </row>
    <row r="286" spans="1:13">
      <c r="E286" s="4">
        <f t="shared" si="128"/>
        <v>286</v>
      </c>
      <c r="F286" s="9" t="s">
        <v>126</v>
      </c>
      <c r="G286" s="9">
        <v>-1</v>
      </c>
      <c r="H286" s="9">
        <v>10</v>
      </c>
      <c r="J286" s="9">
        <v>8</v>
      </c>
      <c r="M286" s="23">
        <f t="shared" ref="M286" si="140">H286*D283+$J$10+B283*G286</f>
        <v>244</v>
      </c>
    </row>
    <row r="287" spans="1:13">
      <c r="E287" s="4">
        <f t="shared" si="128"/>
        <v>287</v>
      </c>
      <c r="F287" s="9" t="s">
        <v>35</v>
      </c>
      <c r="M287" s="23">
        <v>1000</v>
      </c>
    </row>
    <row r="288" spans="1:13">
      <c r="E288" s="4">
        <f t="shared" si="128"/>
        <v>288</v>
      </c>
      <c r="F288" s="9" t="s">
        <v>29</v>
      </c>
      <c r="M288" s="23" t="s">
        <v>229</v>
      </c>
    </row>
    <row r="289" spans="1:13">
      <c r="E289" s="4">
        <f t="shared" si="128"/>
        <v>289</v>
      </c>
      <c r="F289" s="9" t="s">
        <v>118</v>
      </c>
      <c r="M289" s="23" t="s">
        <v>230</v>
      </c>
    </row>
    <row r="290" spans="1:13">
      <c r="E290" s="4">
        <f t="shared" si="128"/>
        <v>290</v>
      </c>
      <c r="F290" s="9" t="s">
        <v>114</v>
      </c>
      <c r="M290" s="23" t="b">
        <v>1</v>
      </c>
    </row>
    <row r="291" spans="1:13">
      <c r="E291" s="4">
        <f t="shared" si="128"/>
        <v>291</v>
      </c>
      <c r="F291" s="9" t="s">
        <v>98</v>
      </c>
      <c r="K291" s="9" t="s">
        <v>137</v>
      </c>
      <c r="M291" s="23">
        <v>2</v>
      </c>
    </row>
    <row r="292" spans="1:13">
      <c r="E292" s="4">
        <f t="shared" si="128"/>
        <v>292</v>
      </c>
      <c r="F292" s="9" t="s">
        <v>30</v>
      </c>
      <c r="G292" s="9">
        <v>2.5</v>
      </c>
      <c r="I292" s="9">
        <v>0</v>
      </c>
      <c r="M292" s="23">
        <f t="shared" ref="M292" si="141">$G$16+$I$16*D283</f>
        <v>2.5</v>
      </c>
    </row>
    <row r="293" spans="1:13">
      <c r="E293" s="4">
        <f t="shared" si="128"/>
        <v>293</v>
      </c>
      <c r="F293" s="9" t="s">
        <v>31</v>
      </c>
      <c r="L293" s="9" t="s">
        <v>135</v>
      </c>
      <c r="M293" s="23" t="s">
        <v>231</v>
      </c>
    </row>
    <row r="294" spans="1:13">
      <c r="E294" s="4">
        <f t="shared" si="128"/>
        <v>294</v>
      </c>
      <c r="F294" s="9" t="s">
        <v>143</v>
      </c>
      <c r="G294" s="9">
        <v>30</v>
      </c>
      <c r="H294" s="9">
        <v>-30</v>
      </c>
      <c r="I294" s="9">
        <v>-10</v>
      </c>
      <c r="J294" s="9" t="s">
        <v>34</v>
      </c>
      <c r="L294" s="9" t="s">
        <v>134</v>
      </c>
      <c r="M294" s="23">
        <f t="shared" ref="M294" si="142">IF(MOD(QUOTIENT(D283-1,$G$8),2)=0,$G$18+$I$18*MOD(D283-1,$G$8),$H$18+$J$18*MOD(D283-1,$G$8))</f>
        <v>-10</v>
      </c>
    </row>
    <row r="295" spans="1:13">
      <c r="A295" s="22" t="s">
        <v>227</v>
      </c>
      <c r="B295" s="22">
        <f t="shared" ref="B295" si="143">QUOTIENT( D295-1,G296)+1</f>
        <v>4</v>
      </c>
      <c r="C295" s="22">
        <f t="shared" ref="C295" si="144">D295-(B295-1)*G296</f>
        <v>4</v>
      </c>
      <c r="D295" s="22">
        <f>COUNT($D$6:$D294)+1</f>
        <v>25</v>
      </c>
      <c r="E295" s="4"/>
    </row>
    <row r="296" spans="1:13">
      <c r="E296" s="4">
        <f t="shared" si="128"/>
        <v>296</v>
      </c>
      <c r="F296" s="9" t="s">
        <v>93</v>
      </c>
      <c r="G296" s="9" t="s">
        <v>39</v>
      </c>
      <c r="H296" s="9" t="s">
        <v>39</v>
      </c>
      <c r="J296" s="9">
        <v>11100</v>
      </c>
      <c r="M296" s="23">
        <f t="shared" ref="M296" si="145">$J$8+D295</f>
        <v>11125</v>
      </c>
    </row>
    <row r="297" spans="1:13">
      <c r="E297" s="4">
        <f t="shared" si="128"/>
        <v>297</v>
      </c>
      <c r="F297" s="9" t="s">
        <v>144</v>
      </c>
      <c r="M297" s="23">
        <v>104020</v>
      </c>
    </row>
    <row r="298" spans="1:13">
      <c r="E298" s="4">
        <f t="shared" si="128"/>
        <v>298</v>
      </c>
      <c r="F298" s="9" t="s">
        <v>126</v>
      </c>
      <c r="G298" s="9">
        <v>-1</v>
      </c>
      <c r="H298" s="9">
        <v>10</v>
      </c>
      <c r="J298" s="9">
        <v>8</v>
      </c>
      <c r="M298" s="23">
        <f t="shared" ref="M298" si="146">H298*D295+$J$10+B295*G298</f>
        <v>254</v>
      </c>
    </row>
    <row r="299" spans="1:13">
      <c r="E299" s="4">
        <f t="shared" si="128"/>
        <v>299</v>
      </c>
      <c r="F299" s="9" t="s">
        <v>35</v>
      </c>
      <c r="M299" s="23">
        <v>1000</v>
      </c>
    </row>
    <row r="300" spans="1:13">
      <c r="E300" s="4">
        <f t="shared" si="128"/>
        <v>300</v>
      </c>
      <c r="F300" s="9" t="s">
        <v>29</v>
      </c>
      <c r="M300" s="23" t="s">
        <v>229</v>
      </c>
    </row>
    <row r="301" spans="1:13">
      <c r="E301" s="4">
        <f t="shared" si="128"/>
        <v>301</v>
      </c>
      <c r="F301" s="9" t="s">
        <v>118</v>
      </c>
      <c r="M301" s="23" t="s">
        <v>230</v>
      </c>
    </row>
    <row r="302" spans="1:13">
      <c r="E302" s="4">
        <f t="shared" si="128"/>
        <v>302</v>
      </c>
      <c r="F302" s="9" t="s">
        <v>114</v>
      </c>
      <c r="M302" s="23" t="b">
        <v>1</v>
      </c>
    </row>
    <row r="303" spans="1:13">
      <c r="E303" s="4">
        <f t="shared" si="128"/>
        <v>303</v>
      </c>
      <c r="F303" s="9" t="s">
        <v>98</v>
      </c>
      <c r="K303" s="9" t="s">
        <v>137</v>
      </c>
      <c r="M303" s="23">
        <v>2</v>
      </c>
    </row>
    <row r="304" spans="1:13">
      <c r="E304" s="4">
        <f t="shared" si="128"/>
        <v>304</v>
      </c>
      <c r="F304" s="9" t="s">
        <v>30</v>
      </c>
      <c r="G304" s="9">
        <v>2.5</v>
      </c>
      <c r="I304" s="9">
        <v>0</v>
      </c>
      <c r="M304" s="23">
        <f t="shared" ref="M304" si="147">$G$16+$I$16*D295</f>
        <v>2.5</v>
      </c>
    </row>
    <row r="305" spans="1:13">
      <c r="E305" s="4">
        <f t="shared" si="128"/>
        <v>305</v>
      </c>
      <c r="F305" s="9" t="s">
        <v>31</v>
      </c>
      <c r="L305" s="9" t="s">
        <v>135</v>
      </c>
      <c r="M305" s="23" t="s">
        <v>231</v>
      </c>
    </row>
    <row r="306" spans="1:13">
      <c r="E306" s="4">
        <f t="shared" si="128"/>
        <v>306</v>
      </c>
      <c r="F306" s="9" t="s">
        <v>143</v>
      </c>
      <c r="G306" s="9">
        <v>30</v>
      </c>
      <c r="H306" s="9">
        <v>-30</v>
      </c>
      <c r="I306" s="9">
        <v>-10</v>
      </c>
      <c r="J306" s="9" t="s">
        <v>34</v>
      </c>
      <c r="L306" s="9" t="s">
        <v>134</v>
      </c>
      <c r="M306" s="23">
        <f t="shared" ref="M306" si="148">IF(MOD(QUOTIENT(D295-1,$G$8),2)=0,$G$18+$I$18*MOD(D295-1,$G$8),$H$18+$J$18*MOD(D295-1,$G$8))</f>
        <v>0</v>
      </c>
    </row>
    <row r="307" spans="1:13">
      <c r="A307" s="22" t="s">
        <v>227</v>
      </c>
      <c r="B307" s="22">
        <f t="shared" ref="B307" si="149">QUOTIENT( D307-1,G308)+1</f>
        <v>4</v>
      </c>
      <c r="C307" s="22">
        <f t="shared" ref="C307" si="150">D307-(B307-1)*G308</f>
        <v>5</v>
      </c>
      <c r="D307" s="22">
        <f>COUNT($D$6:$D306)+1</f>
        <v>26</v>
      </c>
      <c r="E307" s="4"/>
    </row>
    <row r="308" spans="1:13">
      <c r="E308" s="4">
        <f t="shared" si="128"/>
        <v>308</v>
      </c>
      <c r="F308" s="9" t="s">
        <v>93</v>
      </c>
      <c r="G308" s="9" t="s">
        <v>39</v>
      </c>
      <c r="H308" s="9" t="s">
        <v>39</v>
      </c>
      <c r="J308" s="9">
        <v>11100</v>
      </c>
      <c r="M308" s="23">
        <f t="shared" ref="M308" si="151">$J$8+D307</f>
        <v>11126</v>
      </c>
    </row>
    <row r="309" spans="1:13">
      <c r="E309" s="4">
        <f t="shared" si="128"/>
        <v>309</v>
      </c>
      <c r="F309" s="9" t="s">
        <v>144</v>
      </c>
      <c r="M309" s="23">
        <v>104020</v>
      </c>
    </row>
    <row r="310" spans="1:13">
      <c r="E310" s="4">
        <f t="shared" si="128"/>
        <v>310</v>
      </c>
      <c r="F310" s="9" t="s">
        <v>126</v>
      </c>
      <c r="G310" s="9">
        <v>-1</v>
      </c>
      <c r="H310" s="9">
        <v>10</v>
      </c>
      <c r="J310" s="9">
        <v>8</v>
      </c>
      <c r="M310" s="23">
        <f t="shared" ref="M310" si="152">H310*D307+$J$10+B307*G310</f>
        <v>264</v>
      </c>
    </row>
    <row r="311" spans="1:13">
      <c r="E311" s="4">
        <f t="shared" si="128"/>
        <v>311</v>
      </c>
      <c r="F311" s="9" t="s">
        <v>35</v>
      </c>
      <c r="M311" s="23">
        <v>1000</v>
      </c>
    </row>
    <row r="312" spans="1:13">
      <c r="E312" s="4">
        <f t="shared" si="128"/>
        <v>312</v>
      </c>
      <c r="F312" s="9" t="s">
        <v>29</v>
      </c>
      <c r="M312" s="23" t="s">
        <v>229</v>
      </c>
    </row>
    <row r="313" spans="1:13">
      <c r="E313" s="4">
        <f t="shared" si="128"/>
        <v>313</v>
      </c>
      <c r="F313" s="9" t="s">
        <v>118</v>
      </c>
      <c r="M313" s="23" t="s">
        <v>230</v>
      </c>
    </row>
    <row r="314" spans="1:13">
      <c r="E314" s="4">
        <f t="shared" si="128"/>
        <v>314</v>
      </c>
      <c r="F314" s="9" t="s">
        <v>114</v>
      </c>
      <c r="M314" s="23" t="b">
        <v>1</v>
      </c>
    </row>
    <row r="315" spans="1:13">
      <c r="E315" s="4">
        <f t="shared" si="128"/>
        <v>315</v>
      </c>
      <c r="F315" s="9" t="s">
        <v>98</v>
      </c>
      <c r="K315" s="9" t="s">
        <v>137</v>
      </c>
      <c r="M315" s="23">
        <v>2</v>
      </c>
    </row>
    <row r="316" spans="1:13">
      <c r="E316" s="4">
        <f t="shared" si="128"/>
        <v>316</v>
      </c>
      <c r="F316" s="9" t="s">
        <v>30</v>
      </c>
      <c r="G316" s="9">
        <v>2.5</v>
      </c>
      <c r="I316" s="9">
        <v>0</v>
      </c>
      <c r="M316" s="23">
        <f t="shared" ref="M316" si="153">$G$16+$I$16*D307</f>
        <v>2.5</v>
      </c>
    </row>
    <row r="317" spans="1:13">
      <c r="E317" s="4">
        <f t="shared" si="128"/>
        <v>317</v>
      </c>
      <c r="F317" s="9" t="s">
        <v>31</v>
      </c>
      <c r="L317" s="9" t="s">
        <v>135</v>
      </c>
      <c r="M317" s="23" t="s">
        <v>231</v>
      </c>
    </row>
    <row r="318" spans="1:13">
      <c r="E318" s="4">
        <f t="shared" si="128"/>
        <v>318</v>
      </c>
      <c r="F318" s="9" t="s">
        <v>143</v>
      </c>
      <c r="G318" s="9">
        <v>30</v>
      </c>
      <c r="H318" s="9">
        <v>-30</v>
      </c>
      <c r="I318" s="9">
        <v>-10</v>
      </c>
      <c r="J318" s="9" t="s">
        <v>34</v>
      </c>
      <c r="L318" s="9" t="s">
        <v>134</v>
      </c>
      <c r="M318" s="23">
        <f t="shared" ref="M318" si="154">IF(MOD(QUOTIENT(D307-1,$G$8),2)=0,$G$18+$I$18*MOD(D307-1,$G$8),$H$18+$J$18*MOD(D307-1,$G$8))</f>
        <v>10</v>
      </c>
    </row>
    <row r="319" spans="1:13">
      <c r="A319" s="22" t="s">
        <v>227</v>
      </c>
      <c r="B319" s="22">
        <f t="shared" ref="B319" si="155">QUOTIENT( D319-1,G320)+1</f>
        <v>4</v>
      </c>
      <c r="C319" s="22">
        <f t="shared" ref="C319" si="156">D319-(B319-1)*G320</f>
        <v>6</v>
      </c>
      <c r="D319" s="22">
        <f>COUNT($D$6:$D318)+1</f>
        <v>27</v>
      </c>
      <c r="E319" s="4"/>
    </row>
    <row r="320" spans="1:13">
      <c r="E320" s="4">
        <f t="shared" si="128"/>
        <v>320</v>
      </c>
      <c r="F320" s="9" t="s">
        <v>93</v>
      </c>
      <c r="G320" s="9" t="s">
        <v>39</v>
      </c>
      <c r="H320" s="9" t="s">
        <v>39</v>
      </c>
      <c r="J320" s="9">
        <v>11100</v>
      </c>
      <c r="M320" s="23">
        <f t="shared" ref="M320" si="157">$J$8+D319</f>
        <v>11127</v>
      </c>
    </row>
    <row r="321" spans="1:13">
      <c r="E321" s="4">
        <f t="shared" si="128"/>
        <v>321</v>
      </c>
      <c r="F321" s="9" t="s">
        <v>144</v>
      </c>
      <c r="M321" s="23">
        <v>104020</v>
      </c>
    </row>
    <row r="322" spans="1:13">
      <c r="E322" s="4">
        <f t="shared" si="128"/>
        <v>322</v>
      </c>
      <c r="F322" s="9" t="s">
        <v>126</v>
      </c>
      <c r="G322" s="9">
        <v>-1</v>
      </c>
      <c r="H322" s="9">
        <v>10</v>
      </c>
      <c r="J322" s="9">
        <v>8</v>
      </c>
      <c r="M322" s="23">
        <f t="shared" ref="M322" si="158">H322*D319+$J$10+B319*G322</f>
        <v>274</v>
      </c>
    </row>
    <row r="323" spans="1:13">
      <c r="E323" s="4">
        <f t="shared" si="128"/>
        <v>323</v>
      </c>
      <c r="F323" s="9" t="s">
        <v>35</v>
      </c>
      <c r="M323" s="23">
        <v>1000</v>
      </c>
    </row>
    <row r="324" spans="1:13">
      <c r="E324" s="4">
        <f t="shared" si="128"/>
        <v>324</v>
      </c>
      <c r="F324" s="9" t="s">
        <v>29</v>
      </c>
      <c r="M324" s="23" t="s">
        <v>229</v>
      </c>
    </row>
    <row r="325" spans="1:13">
      <c r="E325" s="4">
        <f t="shared" si="128"/>
        <v>325</v>
      </c>
      <c r="F325" s="9" t="s">
        <v>118</v>
      </c>
      <c r="M325" s="23" t="s">
        <v>230</v>
      </c>
    </row>
    <row r="326" spans="1:13">
      <c r="E326" s="4">
        <f t="shared" si="128"/>
        <v>326</v>
      </c>
      <c r="F326" s="9" t="s">
        <v>114</v>
      </c>
      <c r="M326" s="23" t="b">
        <v>1</v>
      </c>
    </row>
    <row r="327" spans="1:13">
      <c r="E327" s="4">
        <f t="shared" si="128"/>
        <v>327</v>
      </c>
      <c r="F327" s="9" t="s">
        <v>98</v>
      </c>
      <c r="K327" s="9" t="s">
        <v>137</v>
      </c>
      <c r="M327" s="23">
        <v>2</v>
      </c>
    </row>
    <row r="328" spans="1:13">
      <c r="E328" s="4">
        <f t="shared" ref="E328:E390" si="159">ROW(E328)</f>
        <v>328</v>
      </c>
      <c r="F328" s="9" t="s">
        <v>30</v>
      </c>
      <c r="G328" s="9">
        <v>2.5</v>
      </c>
      <c r="I328" s="9">
        <v>0</v>
      </c>
      <c r="M328" s="23">
        <f t="shared" ref="M328" si="160">$G$16+$I$16*D319</f>
        <v>2.5</v>
      </c>
    </row>
    <row r="329" spans="1:13">
      <c r="E329" s="4">
        <f t="shared" si="159"/>
        <v>329</v>
      </c>
      <c r="F329" s="9" t="s">
        <v>31</v>
      </c>
      <c r="L329" s="9" t="s">
        <v>135</v>
      </c>
      <c r="M329" s="23" t="s">
        <v>231</v>
      </c>
    </row>
    <row r="330" spans="1:13">
      <c r="E330" s="4">
        <f t="shared" si="159"/>
        <v>330</v>
      </c>
      <c r="F330" s="9" t="s">
        <v>143</v>
      </c>
      <c r="G330" s="9">
        <v>30</v>
      </c>
      <c r="H330" s="9">
        <v>-30</v>
      </c>
      <c r="I330" s="9">
        <v>-10</v>
      </c>
      <c r="J330" s="9" t="s">
        <v>34</v>
      </c>
      <c r="L330" s="9" t="s">
        <v>134</v>
      </c>
      <c r="M330" s="23">
        <f t="shared" ref="M330" si="161">IF(MOD(QUOTIENT(D319-1,$G$8),2)=0,$G$18+$I$18*MOD(D319-1,$G$8),$H$18+$J$18*MOD(D319-1,$G$8))</f>
        <v>20</v>
      </c>
    </row>
    <row r="331" spans="1:13">
      <c r="A331" s="22" t="s">
        <v>227</v>
      </c>
      <c r="B331" s="22">
        <f t="shared" ref="B331" si="162">QUOTIENT( D331-1,G332)+1</f>
        <v>4</v>
      </c>
      <c r="C331" s="22">
        <f t="shared" ref="C331" si="163">D331-(B331-1)*G332</f>
        <v>7</v>
      </c>
      <c r="D331" s="22">
        <f>COUNT($D$6:$D330)+1</f>
        <v>28</v>
      </c>
      <c r="E331" s="4"/>
    </row>
    <row r="332" spans="1:13">
      <c r="E332" s="4">
        <f t="shared" si="159"/>
        <v>332</v>
      </c>
      <c r="F332" s="9" t="s">
        <v>93</v>
      </c>
      <c r="G332" s="9" t="s">
        <v>39</v>
      </c>
      <c r="H332" s="9" t="s">
        <v>39</v>
      </c>
      <c r="J332" s="9">
        <v>11100</v>
      </c>
      <c r="M332" s="23">
        <f t="shared" ref="M332" si="164">$J$8+D331</f>
        <v>11128</v>
      </c>
    </row>
    <row r="333" spans="1:13">
      <c r="E333" s="4">
        <f t="shared" si="159"/>
        <v>333</v>
      </c>
      <c r="F333" s="9" t="s">
        <v>144</v>
      </c>
      <c r="M333" s="23">
        <v>104020</v>
      </c>
    </row>
    <row r="334" spans="1:13">
      <c r="E334" s="4">
        <f t="shared" si="159"/>
        <v>334</v>
      </c>
      <c r="F334" s="9" t="s">
        <v>126</v>
      </c>
      <c r="G334" s="9">
        <v>-1</v>
      </c>
      <c r="H334" s="9">
        <v>10</v>
      </c>
      <c r="J334" s="9">
        <v>8</v>
      </c>
      <c r="M334" s="23">
        <f t="shared" ref="M334" si="165">H334*D331+$J$10+B331*G334</f>
        <v>284</v>
      </c>
    </row>
    <row r="335" spans="1:13">
      <c r="E335" s="4">
        <f t="shared" si="159"/>
        <v>335</v>
      </c>
      <c r="F335" s="9" t="s">
        <v>35</v>
      </c>
      <c r="M335" s="23">
        <v>1000</v>
      </c>
    </row>
    <row r="336" spans="1:13">
      <c r="E336" s="4">
        <f t="shared" si="159"/>
        <v>336</v>
      </c>
      <c r="F336" s="9" t="s">
        <v>29</v>
      </c>
      <c r="M336" s="23" t="s">
        <v>229</v>
      </c>
    </row>
    <row r="337" spans="1:13">
      <c r="E337" s="4">
        <f t="shared" si="159"/>
        <v>337</v>
      </c>
      <c r="F337" s="9" t="s">
        <v>118</v>
      </c>
      <c r="M337" s="23" t="s">
        <v>230</v>
      </c>
    </row>
    <row r="338" spans="1:13">
      <c r="E338" s="4">
        <f t="shared" si="159"/>
        <v>338</v>
      </c>
      <c r="F338" s="9" t="s">
        <v>114</v>
      </c>
      <c r="M338" s="23" t="b">
        <v>1</v>
      </c>
    </row>
    <row r="339" spans="1:13">
      <c r="E339" s="4">
        <f t="shared" si="159"/>
        <v>339</v>
      </c>
      <c r="F339" s="9" t="s">
        <v>98</v>
      </c>
      <c r="K339" s="9" t="s">
        <v>137</v>
      </c>
      <c r="M339" s="23">
        <v>2</v>
      </c>
    </row>
    <row r="340" spans="1:13">
      <c r="E340" s="4">
        <f t="shared" si="159"/>
        <v>340</v>
      </c>
      <c r="F340" s="9" t="s">
        <v>30</v>
      </c>
      <c r="G340" s="9">
        <v>2.5</v>
      </c>
      <c r="I340" s="9">
        <v>0</v>
      </c>
      <c r="M340" s="23">
        <f t="shared" ref="M340" si="166">$G$16+$I$16*D331</f>
        <v>2.5</v>
      </c>
    </row>
    <row r="341" spans="1:13">
      <c r="E341" s="4">
        <f t="shared" si="159"/>
        <v>341</v>
      </c>
      <c r="F341" s="9" t="s">
        <v>31</v>
      </c>
      <c r="L341" s="9" t="s">
        <v>135</v>
      </c>
      <c r="M341" s="23" t="s">
        <v>231</v>
      </c>
    </row>
    <row r="342" spans="1:13">
      <c r="E342" s="4">
        <f t="shared" si="159"/>
        <v>342</v>
      </c>
      <c r="F342" s="9" t="s">
        <v>143</v>
      </c>
      <c r="G342" s="9">
        <v>30</v>
      </c>
      <c r="H342" s="9">
        <v>-30</v>
      </c>
      <c r="I342" s="9">
        <v>-10</v>
      </c>
      <c r="J342" s="9" t="s">
        <v>34</v>
      </c>
      <c r="L342" s="9" t="s">
        <v>134</v>
      </c>
      <c r="M342" s="23">
        <f t="shared" ref="M342" si="167">IF(MOD(QUOTIENT(D331-1,$G$8),2)=0,$G$18+$I$18*MOD(D331-1,$G$8),$H$18+$J$18*MOD(D331-1,$G$8))</f>
        <v>30</v>
      </c>
    </row>
    <row r="343" spans="1:13">
      <c r="A343" s="22" t="s">
        <v>227</v>
      </c>
      <c r="B343" s="22">
        <f t="shared" ref="B343" si="168">QUOTIENT( D343-1,G344)+1</f>
        <v>5</v>
      </c>
      <c r="C343" s="22">
        <f t="shared" ref="C343" si="169">D343-(B343-1)*G344</f>
        <v>1</v>
      </c>
      <c r="D343" s="22">
        <f>COUNT($D$6:$D342)+1</f>
        <v>29</v>
      </c>
      <c r="E343" s="4"/>
    </row>
    <row r="344" spans="1:13">
      <c r="E344" s="4">
        <f t="shared" si="159"/>
        <v>344</v>
      </c>
      <c r="F344" s="9" t="s">
        <v>93</v>
      </c>
      <c r="G344" s="9" t="s">
        <v>39</v>
      </c>
      <c r="H344" s="9" t="s">
        <v>39</v>
      </c>
      <c r="J344" s="9">
        <v>11100</v>
      </c>
      <c r="M344" s="23">
        <f t="shared" ref="M344" si="170">$J$8+D343</f>
        <v>11129</v>
      </c>
    </row>
    <row r="345" spans="1:13">
      <c r="E345" s="4">
        <f t="shared" si="159"/>
        <v>345</v>
      </c>
      <c r="F345" s="9" t="s">
        <v>144</v>
      </c>
      <c r="M345" s="23">
        <v>104020</v>
      </c>
    </row>
    <row r="346" spans="1:13">
      <c r="E346" s="4">
        <f t="shared" si="159"/>
        <v>346</v>
      </c>
      <c r="F346" s="9" t="s">
        <v>126</v>
      </c>
      <c r="G346" s="9">
        <v>-1</v>
      </c>
      <c r="H346" s="9">
        <v>10</v>
      </c>
      <c r="J346" s="9">
        <v>8</v>
      </c>
      <c r="M346" s="23">
        <f t="shared" ref="M346" si="171">H346*D343+$J$10+B343*G346</f>
        <v>293</v>
      </c>
    </row>
    <row r="347" spans="1:13">
      <c r="E347" s="4">
        <f t="shared" si="159"/>
        <v>347</v>
      </c>
      <c r="F347" s="9" t="s">
        <v>35</v>
      </c>
      <c r="M347" s="23">
        <v>1000</v>
      </c>
    </row>
    <row r="348" spans="1:13">
      <c r="E348" s="4">
        <f t="shared" si="159"/>
        <v>348</v>
      </c>
      <c r="F348" s="9" t="s">
        <v>29</v>
      </c>
      <c r="M348" s="23" t="s">
        <v>229</v>
      </c>
    </row>
    <row r="349" spans="1:13">
      <c r="E349" s="4">
        <f t="shared" si="159"/>
        <v>349</v>
      </c>
      <c r="F349" s="9" t="s">
        <v>118</v>
      </c>
      <c r="M349" s="23" t="s">
        <v>230</v>
      </c>
    </row>
    <row r="350" spans="1:13">
      <c r="E350" s="4">
        <f t="shared" si="159"/>
        <v>350</v>
      </c>
      <c r="F350" s="9" t="s">
        <v>114</v>
      </c>
      <c r="M350" s="23" t="b">
        <v>1</v>
      </c>
    </row>
    <row r="351" spans="1:13">
      <c r="E351" s="4">
        <f t="shared" si="159"/>
        <v>351</v>
      </c>
      <c r="F351" s="9" t="s">
        <v>98</v>
      </c>
      <c r="K351" s="9" t="s">
        <v>137</v>
      </c>
      <c r="M351" s="23">
        <v>2</v>
      </c>
    </row>
    <row r="352" spans="1:13">
      <c r="E352" s="4">
        <f t="shared" si="159"/>
        <v>352</v>
      </c>
      <c r="F352" s="9" t="s">
        <v>30</v>
      </c>
      <c r="G352" s="9">
        <v>2.5</v>
      </c>
      <c r="I352" s="9">
        <v>0</v>
      </c>
      <c r="M352" s="23">
        <f t="shared" ref="M352" si="172">$G$16+$I$16*D343</f>
        <v>2.5</v>
      </c>
    </row>
    <row r="353" spans="1:13">
      <c r="E353" s="4">
        <f t="shared" si="159"/>
        <v>353</v>
      </c>
      <c r="F353" s="9" t="s">
        <v>31</v>
      </c>
      <c r="L353" s="9" t="s">
        <v>135</v>
      </c>
      <c r="M353" s="23" t="s">
        <v>231</v>
      </c>
    </row>
    <row r="354" spans="1:13">
      <c r="E354" s="4">
        <f t="shared" si="159"/>
        <v>354</v>
      </c>
      <c r="F354" s="9" t="s">
        <v>143</v>
      </c>
      <c r="G354" s="9">
        <v>30</v>
      </c>
      <c r="H354" s="9">
        <v>-30</v>
      </c>
      <c r="I354" s="9">
        <v>-10</v>
      </c>
      <c r="J354" s="9" t="s">
        <v>34</v>
      </c>
      <c r="L354" s="9" t="s">
        <v>134</v>
      </c>
      <c r="M354" s="23">
        <f t="shared" ref="M354" si="173">IF(MOD(QUOTIENT(D343-1,$G$8),2)=0,$G$18+$I$18*MOD(D343-1,$G$8),$H$18+$J$18*MOD(D343-1,$G$8))</f>
        <v>30</v>
      </c>
    </row>
    <row r="355" spans="1:13">
      <c r="A355" s="22" t="s">
        <v>227</v>
      </c>
      <c r="B355" s="22">
        <f t="shared" ref="B355" si="174">QUOTIENT( D355-1,G356)+1</f>
        <v>5</v>
      </c>
      <c r="C355" s="22">
        <f t="shared" ref="C355" si="175">D355-(B355-1)*G356</f>
        <v>2</v>
      </c>
      <c r="D355" s="22">
        <f>COUNT($D$6:$D354)+1</f>
        <v>30</v>
      </c>
      <c r="E355" s="4"/>
    </row>
    <row r="356" spans="1:13">
      <c r="E356" s="4">
        <f t="shared" si="159"/>
        <v>356</v>
      </c>
      <c r="F356" s="9" t="s">
        <v>93</v>
      </c>
      <c r="G356" s="9" t="s">
        <v>39</v>
      </c>
      <c r="H356" s="9" t="s">
        <v>39</v>
      </c>
      <c r="J356" s="9">
        <v>11100</v>
      </c>
      <c r="M356" s="23">
        <f t="shared" ref="M356" si="176">$J$8+D355</f>
        <v>11130</v>
      </c>
    </row>
    <row r="357" spans="1:13">
      <c r="E357" s="4">
        <f t="shared" si="159"/>
        <v>357</v>
      </c>
      <c r="F357" s="9" t="s">
        <v>144</v>
      </c>
      <c r="M357" s="23">
        <v>104020</v>
      </c>
    </row>
    <row r="358" spans="1:13">
      <c r="E358" s="4">
        <f t="shared" si="159"/>
        <v>358</v>
      </c>
      <c r="F358" s="9" t="s">
        <v>126</v>
      </c>
      <c r="G358" s="9">
        <v>-1</v>
      </c>
      <c r="H358" s="9">
        <v>10</v>
      </c>
      <c r="J358" s="9">
        <v>8</v>
      </c>
      <c r="M358" s="23">
        <f t="shared" ref="M358" si="177">H358*D355+$J$10+B355*G358</f>
        <v>303</v>
      </c>
    </row>
    <row r="359" spans="1:13">
      <c r="E359" s="4">
        <f t="shared" si="159"/>
        <v>359</v>
      </c>
      <c r="F359" s="9" t="s">
        <v>35</v>
      </c>
      <c r="M359" s="23">
        <v>1000</v>
      </c>
    </row>
    <row r="360" spans="1:13">
      <c r="E360" s="4">
        <f t="shared" si="159"/>
        <v>360</v>
      </c>
      <c r="F360" s="9" t="s">
        <v>29</v>
      </c>
      <c r="M360" s="23" t="s">
        <v>229</v>
      </c>
    </row>
    <row r="361" spans="1:13">
      <c r="E361" s="4">
        <f t="shared" si="159"/>
        <v>361</v>
      </c>
      <c r="F361" s="9" t="s">
        <v>118</v>
      </c>
      <c r="M361" s="23" t="s">
        <v>230</v>
      </c>
    </row>
    <row r="362" spans="1:13">
      <c r="E362" s="4">
        <f t="shared" si="159"/>
        <v>362</v>
      </c>
      <c r="F362" s="9" t="s">
        <v>114</v>
      </c>
      <c r="M362" s="23" t="b">
        <v>1</v>
      </c>
    </row>
    <row r="363" spans="1:13">
      <c r="E363" s="4">
        <f t="shared" si="159"/>
        <v>363</v>
      </c>
      <c r="F363" s="9" t="s">
        <v>98</v>
      </c>
      <c r="K363" s="9" t="s">
        <v>137</v>
      </c>
      <c r="M363" s="23">
        <v>2</v>
      </c>
    </row>
    <row r="364" spans="1:13">
      <c r="E364" s="4">
        <f t="shared" si="159"/>
        <v>364</v>
      </c>
      <c r="F364" s="9" t="s">
        <v>30</v>
      </c>
      <c r="G364" s="9">
        <v>2.5</v>
      </c>
      <c r="I364" s="9">
        <v>0</v>
      </c>
      <c r="M364" s="23">
        <f t="shared" ref="M364" si="178">$G$16+$I$16*D355</f>
        <v>2.5</v>
      </c>
    </row>
    <row r="365" spans="1:13">
      <c r="E365" s="4">
        <f t="shared" si="159"/>
        <v>365</v>
      </c>
      <c r="F365" s="9" t="s">
        <v>31</v>
      </c>
      <c r="L365" s="9" t="s">
        <v>135</v>
      </c>
      <c r="M365" s="23" t="s">
        <v>231</v>
      </c>
    </row>
    <row r="366" spans="1:13">
      <c r="E366" s="4">
        <f t="shared" si="159"/>
        <v>366</v>
      </c>
      <c r="F366" s="9" t="s">
        <v>143</v>
      </c>
      <c r="G366" s="9">
        <v>30</v>
      </c>
      <c r="H366" s="9">
        <v>-30</v>
      </c>
      <c r="I366" s="9">
        <v>-10</v>
      </c>
      <c r="J366" s="9" t="s">
        <v>34</v>
      </c>
      <c r="L366" s="9" t="s">
        <v>134</v>
      </c>
      <c r="M366" s="23">
        <f t="shared" ref="M366" si="179">IF(MOD(QUOTIENT(D355-1,$G$8),2)=0,$G$18+$I$18*MOD(D355-1,$G$8),$H$18+$J$18*MOD(D355-1,$G$8))</f>
        <v>20</v>
      </c>
    </row>
    <row r="367" spans="1:13">
      <c r="A367" s="22" t="s">
        <v>227</v>
      </c>
      <c r="B367" s="22">
        <f t="shared" ref="B367" si="180">QUOTIENT( D367-1,G368)+1</f>
        <v>5</v>
      </c>
      <c r="C367" s="22">
        <f t="shared" ref="C367" si="181">D367-(B367-1)*G368</f>
        <v>3</v>
      </c>
      <c r="D367" s="22">
        <f>COUNT($D$6:$D366)+1</f>
        <v>31</v>
      </c>
      <c r="E367" s="4"/>
    </row>
    <row r="368" spans="1:13">
      <c r="E368" s="4">
        <f t="shared" si="159"/>
        <v>368</v>
      </c>
      <c r="F368" s="9" t="s">
        <v>93</v>
      </c>
      <c r="G368" s="9" t="s">
        <v>39</v>
      </c>
      <c r="H368" s="9" t="s">
        <v>39</v>
      </c>
      <c r="J368" s="9">
        <v>11100</v>
      </c>
      <c r="M368" s="23">
        <f t="shared" ref="M368" si="182">$J$8+D367</f>
        <v>11131</v>
      </c>
    </row>
    <row r="369" spans="1:13">
      <c r="E369" s="4">
        <f t="shared" si="159"/>
        <v>369</v>
      </c>
      <c r="F369" s="9" t="s">
        <v>144</v>
      </c>
      <c r="M369" s="23">
        <v>104020</v>
      </c>
    </row>
    <row r="370" spans="1:13">
      <c r="E370" s="4">
        <f t="shared" si="159"/>
        <v>370</v>
      </c>
      <c r="F370" s="9" t="s">
        <v>126</v>
      </c>
      <c r="G370" s="9">
        <v>-1</v>
      </c>
      <c r="H370" s="9">
        <v>10</v>
      </c>
      <c r="J370" s="9">
        <v>8</v>
      </c>
      <c r="M370" s="23">
        <f t="shared" ref="M370" si="183">H370*D367+$J$10+B367*G370</f>
        <v>313</v>
      </c>
    </row>
    <row r="371" spans="1:13">
      <c r="E371" s="4">
        <f t="shared" si="159"/>
        <v>371</v>
      </c>
      <c r="F371" s="9" t="s">
        <v>35</v>
      </c>
      <c r="M371" s="23">
        <v>1000</v>
      </c>
    </row>
    <row r="372" spans="1:13">
      <c r="E372" s="4">
        <f t="shared" si="159"/>
        <v>372</v>
      </c>
      <c r="F372" s="9" t="s">
        <v>29</v>
      </c>
      <c r="M372" s="23" t="s">
        <v>229</v>
      </c>
    </row>
    <row r="373" spans="1:13">
      <c r="E373" s="4">
        <f t="shared" si="159"/>
        <v>373</v>
      </c>
      <c r="F373" s="9" t="s">
        <v>118</v>
      </c>
      <c r="M373" s="23" t="s">
        <v>230</v>
      </c>
    </row>
    <row r="374" spans="1:13">
      <c r="E374" s="4">
        <f t="shared" si="159"/>
        <v>374</v>
      </c>
      <c r="F374" s="9" t="s">
        <v>114</v>
      </c>
      <c r="M374" s="23" t="b">
        <v>1</v>
      </c>
    </row>
    <row r="375" spans="1:13">
      <c r="E375" s="4">
        <f t="shared" si="159"/>
        <v>375</v>
      </c>
      <c r="F375" s="9" t="s">
        <v>98</v>
      </c>
      <c r="K375" s="9" t="s">
        <v>137</v>
      </c>
      <c r="M375" s="23">
        <v>2</v>
      </c>
    </row>
    <row r="376" spans="1:13">
      <c r="E376" s="4">
        <f t="shared" si="159"/>
        <v>376</v>
      </c>
      <c r="F376" s="9" t="s">
        <v>30</v>
      </c>
      <c r="G376" s="9">
        <v>2.5</v>
      </c>
      <c r="I376" s="9">
        <v>0</v>
      </c>
      <c r="M376" s="23">
        <f t="shared" ref="M376" si="184">$G$16+$I$16*D367</f>
        <v>2.5</v>
      </c>
    </row>
    <row r="377" spans="1:13">
      <c r="E377" s="4">
        <f t="shared" si="159"/>
        <v>377</v>
      </c>
      <c r="F377" s="9" t="s">
        <v>31</v>
      </c>
      <c r="L377" s="9" t="s">
        <v>135</v>
      </c>
      <c r="M377" s="23" t="s">
        <v>231</v>
      </c>
    </row>
    <row r="378" spans="1:13">
      <c r="E378" s="4">
        <f t="shared" si="159"/>
        <v>378</v>
      </c>
      <c r="F378" s="9" t="s">
        <v>143</v>
      </c>
      <c r="G378" s="9">
        <v>30</v>
      </c>
      <c r="H378" s="9">
        <v>-30</v>
      </c>
      <c r="I378" s="9">
        <v>-10</v>
      </c>
      <c r="J378" s="9" t="s">
        <v>34</v>
      </c>
      <c r="L378" s="9" t="s">
        <v>134</v>
      </c>
      <c r="M378" s="23">
        <f t="shared" ref="M378" si="185">IF(MOD(QUOTIENT(D367-1,$G$8),2)=0,$G$18+$I$18*MOD(D367-1,$G$8),$H$18+$J$18*MOD(D367-1,$G$8))</f>
        <v>10</v>
      </c>
    </row>
    <row r="379" spans="1:13">
      <c r="A379" s="22" t="s">
        <v>227</v>
      </c>
      <c r="B379" s="22">
        <f t="shared" ref="B379" si="186">QUOTIENT( D379-1,G380)+1</f>
        <v>5</v>
      </c>
      <c r="C379" s="22">
        <f t="shared" ref="C379" si="187">D379-(B379-1)*G380</f>
        <v>4</v>
      </c>
      <c r="D379" s="22">
        <f>COUNT($D$6:$D378)+1</f>
        <v>32</v>
      </c>
      <c r="E379" s="4"/>
    </row>
    <row r="380" spans="1:13">
      <c r="E380" s="4">
        <f t="shared" si="159"/>
        <v>380</v>
      </c>
      <c r="F380" s="9" t="s">
        <v>93</v>
      </c>
      <c r="G380" s="9" t="s">
        <v>39</v>
      </c>
      <c r="H380" s="9" t="s">
        <v>39</v>
      </c>
      <c r="J380" s="9">
        <v>11100</v>
      </c>
      <c r="M380" s="23">
        <f t="shared" ref="M380" si="188">$J$8+D379</f>
        <v>11132</v>
      </c>
    </row>
    <row r="381" spans="1:13">
      <c r="E381" s="4">
        <f t="shared" si="159"/>
        <v>381</v>
      </c>
      <c r="F381" s="9" t="s">
        <v>144</v>
      </c>
      <c r="M381" s="23">
        <v>104020</v>
      </c>
    </row>
    <row r="382" spans="1:13">
      <c r="E382" s="4">
        <f t="shared" si="159"/>
        <v>382</v>
      </c>
      <c r="F382" s="9" t="s">
        <v>126</v>
      </c>
      <c r="G382" s="9">
        <v>-1</v>
      </c>
      <c r="H382" s="9">
        <v>10</v>
      </c>
      <c r="J382" s="9">
        <v>8</v>
      </c>
      <c r="M382" s="23">
        <f t="shared" ref="M382" si="189">H382*D379+$J$10+B379*G382</f>
        <v>323</v>
      </c>
    </row>
    <row r="383" spans="1:13">
      <c r="E383" s="4">
        <f t="shared" si="159"/>
        <v>383</v>
      </c>
      <c r="F383" s="9" t="s">
        <v>35</v>
      </c>
      <c r="M383" s="23">
        <v>1000</v>
      </c>
    </row>
    <row r="384" spans="1:13">
      <c r="E384" s="4">
        <f t="shared" si="159"/>
        <v>384</v>
      </c>
      <c r="F384" s="9" t="s">
        <v>29</v>
      </c>
      <c r="M384" s="23" t="s">
        <v>229</v>
      </c>
    </row>
    <row r="385" spans="1:13">
      <c r="E385" s="4">
        <f t="shared" si="159"/>
        <v>385</v>
      </c>
      <c r="F385" s="9" t="s">
        <v>118</v>
      </c>
      <c r="M385" s="23" t="s">
        <v>230</v>
      </c>
    </row>
    <row r="386" spans="1:13">
      <c r="E386" s="4">
        <f t="shared" si="159"/>
        <v>386</v>
      </c>
      <c r="F386" s="9" t="s">
        <v>114</v>
      </c>
      <c r="M386" s="23" t="b">
        <v>1</v>
      </c>
    </row>
    <row r="387" spans="1:13">
      <c r="E387" s="4">
        <f t="shared" si="159"/>
        <v>387</v>
      </c>
      <c r="F387" s="9" t="s">
        <v>98</v>
      </c>
      <c r="K387" s="9" t="s">
        <v>137</v>
      </c>
      <c r="M387" s="23">
        <v>2</v>
      </c>
    </row>
    <row r="388" spans="1:13">
      <c r="E388" s="4">
        <f t="shared" si="159"/>
        <v>388</v>
      </c>
      <c r="F388" s="9" t="s">
        <v>30</v>
      </c>
      <c r="G388" s="9">
        <v>2.5</v>
      </c>
      <c r="I388" s="9">
        <v>0</v>
      </c>
      <c r="M388" s="23">
        <f t="shared" ref="M388" si="190">$G$16+$I$16*D379</f>
        <v>2.5</v>
      </c>
    </row>
    <row r="389" spans="1:13">
      <c r="E389" s="4">
        <f t="shared" si="159"/>
        <v>389</v>
      </c>
      <c r="F389" s="9" t="s">
        <v>31</v>
      </c>
      <c r="L389" s="9" t="s">
        <v>135</v>
      </c>
      <c r="M389" s="23" t="s">
        <v>231</v>
      </c>
    </row>
    <row r="390" spans="1:13">
      <c r="E390" s="4">
        <f t="shared" si="159"/>
        <v>390</v>
      </c>
      <c r="F390" s="9" t="s">
        <v>143</v>
      </c>
      <c r="G390" s="9">
        <v>30</v>
      </c>
      <c r="H390" s="9">
        <v>-30</v>
      </c>
      <c r="I390" s="9">
        <v>-10</v>
      </c>
      <c r="J390" s="9" t="s">
        <v>34</v>
      </c>
      <c r="L390" s="9" t="s">
        <v>134</v>
      </c>
      <c r="M390" s="23">
        <f t="shared" ref="M390" si="191">IF(MOD(QUOTIENT(D379-1,$G$8),2)=0,$G$18+$I$18*MOD(D379-1,$G$8),$H$18+$J$18*MOD(D379-1,$G$8))</f>
        <v>0</v>
      </c>
    </row>
    <row r="391" spans="1:13">
      <c r="A391" s="22" t="s">
        <v>227</v>
      </c>
      <c r="B391" s="22">
        <f t="shared" ref="B391" si="192">QUOTIENT( D391-1,G392)+1</f>
        <v>5</v>
      </c>
      <c r="C391" s="22">
        <f t="shared" ref="C391" si="193">D391-(B391-1)*G392</f>
        <v>5</v>
      </c>
      <c r="D391" s="22">
        <f>COUNT($D$6:$D390)+1</f>
        <v>33</v>
      </c>
      <c r="E391" s="4"/>
    </row>
    <row r="392" spans="1:13">
      <c r="E392" s="4">
        <f t="shared" ref="E392:E455" si="194">ROW(E392)</f>
        <v>392</v>
      </c>
      <c r="F392" s="9" t="s">
        <v>93</v>
      </c>
      <c r="G392" s="9" t="s">
        <v>39</v>
      </c>
      <c r="H392" s="9" t="s">
        <v>39</v>
      </c>
      <c r="J392" s="9">
        <v>11100</v>
      </c>
      <c r="M392" s="23">
        <f t="shared" ref="M392" si="195">$J$8+D391</f>
        <v>11133</v>
      </c>
    </row>
    <row r="393" spans="1:13">
      <c r="E393" s="4">
        <f t="shared" si="194"/>
        <v>393</v>
      </c>
      <c r="F393" s="9" t="s">
        <v>144</v>
      </c>
      <c r="M393" s="23">
        <v>104020</v>
      </c>
    </row>
    <row r="394" spans="1:13">
      <c r="E394" s="4">
        <f t="shared" si="194"/>
        <v>394</v>
      </c>
      <c r="F394" s="9" t="s">
        <v>126</v>
      </c>
      <c r="G394" s="9">
        <v>-1</v>
      </c>
      <c r="H394" s="9">
        <v>10</v>
      </c>
      <c r="J394" s="9">
        <v>8</v>
      </c>
      <c r="M394" s="23">
        <f t="shared" ref="M394" si="196">H394*D391+$J$10+B391*G394</f>
        <v>333</v>
      </c>
    </row>
    <row r="395" spans="1:13">
      <c r="E395" s="4">
        <f t="shared" si="194"/>
        <v>395</v>
      </c>
      <c r="F395" s="9" t="s">
        <v>35</v>
      </c>
      <c r="M395" s="23">
        <v>1000</v>
      </c>
    </row>
    <row r="396" spans="1:13">
      <c r="E396" s="4">
        <f t="shared" si="194"/>
        <v>396</v>
      </c>
      <c r="F396" s="9" t="s">
        <v>29</v>
      </c>
      <c r="M396" s="23" t="s">
        <v>229</v>
      </c>
    </row>
    <row r="397" spans="1:13">
      <c r="E397" s="4">
        <f t="shared" si="194"/>
        <v>397</v>
      </c>
      <c r="F397" s="9" t="s">
        <v>118</v>
      </c>
      <c r="M397" s="23" t="s">
        <v>230</v>
      </c>
    </row>
    <row r="398" spans="1:13">
      <c r="E398" s="4">
        <f t="shared" si="194"/>
        <v>398</v>
      </c>
      <c r="F398" s="9" t="s">
        <v>114</v>
      </c>
      <c r="M398" s="23" t="b">
        <v>1</v>
      </c>
    </row>
    <row r="399" spans="1:13">
      <c r="E399" s="4">
        <f t="shared" si="194"/>
        <v>399</v>
      </c>
      <c r="F399" s="9" t="s">
        <v>98</v>
      </c>
      <c r="K399" s="9" t="s">
        <v>137</v>
      </c>
      <c r="M399" s="23">
        <v>2</v>
      </c>
    </row>
    <row r="400" spans="1:13">
      <c r="E400" s="4">
        <f t="shared" si="194"/>
        <v>400</v>
      </c>
      <c r="F400" s="9" t="s">
        <v>30</v>
      </c>
      <c r="G400" s="9">
        <v>2.5</v>
      </c>
      <c r="I400" s="9">
        <v>0</v>
      </c>
      <c r="M400" s="23">
        <f t="shared" ref="M400" si="197">$G$16+$I$16*D391</f>
        <v>2.5</v>
      </c>
    </row>
    <row r="401" spans="1:13">
      <c r="E401" s="4">
        <f t="shared" si="194"/>
        <v>401</v>
      </c>
      <c r="F401" s="9" t="s">
        <v>31</v>
      </c>
      <c r="L401" s="9" t="s">
        <v>135</v>
      </c>
      <c r="M401" s="23" t="s">
        <v>231</v>
      </c>
    </row>
    <row r="402" spans="1:13">
      <c r="E402" s="4">
        <f t="shared" si="194"/>
        <v>402</v>
      </c>
      <c r="F402" s="9" t="s">
        <v>143</v>
      </c>
      <c r="G402" s="9">
        <v>30</v>
      </c>
      <c r="H402" s="9">
        <v>-30</v>
      </c>
      <c r="I402" s="9">
        <v>-10</v>
      </c>
      <c r="J402" s="9" t="s">
        <v>34</v>
      </c>
      <c r="L402" s="9" t="s">
        <v>134</v>
      </c>
      <c r="M402" s="23">
        <f t="shared" ref="M402" si="198">IF(MOD(QUOTIENT(D391-1,$G$8),2)=0,$G$18+$I$18*MOD(D391-1,$G$8),$H$18+$J$18*MOD(D391-1,$G$8))</f>
        <v>-10</v>
      </c>
    </row>
    <row r="403" spans="1:13">
      <c r="A403" s="22" t="s">
        <v>227</v>
      </c>
      <c r="B403" s="22">
        <f t="shared" ref="B403" si="199">QUOTIENT( D403-1,G404)+1</f>
        <v>5</v>
      </c>
      <c r="C403" s="22">
        <f t="shared" ref="C403" si="200">D403-(B403-1)*G404</f>
        <v>6</v>
      </c>
      <c r="D403" s="22">
        <f>COUNT($D$6:$D402)+1</f>
        <v>34</v>
      </c>
      <c r="E403" s="4"/>
    </row>
    <row r="404" spans="1:13">
      <c r="E404" s="4">
        <f t="shared" si="194"/>
        <v>404</v>
      </c>
      <c r="F404" s="9" t="s">
        <v>93</v>
      </c>
      <c r="G404" s="9" t="s">
        <v>39</v>
      </c>
      <c r="H404" s="9" t="s">
        <v>39</v>
      </c>
      <c r="J404" s="9">
        <v>11100</v>
      </c>
      <c r="M404" s="23">
        <f t="shared" ref="M404" si="201">$J$8+D403</f>
        <v>11134</v>
      </c>
    </row>
    <row r="405" spans="1:13">
      <c r="E405" s="4">
        <f t="shared" si="194"/>
        <v>405</v>
      </c>
      <c r="F405" s="9" t="s">
        <v>144</v>
      </c>
      <c r="M405" s="23">
        <v>104020</v>
      </c>
    </row>
    <row r="406" spans="1:13">
      <c r="E406" s="4">
        <f t="shared" si="194"/>
        <v>406</v>
      </c>
      <c r="F406" s="9" t="s">
        <v>126</v>
      </c>
      <c r="G406" s="9">
        <v>-1</v>
      </c>
      <c r="H406" s="9">
        <v>10</v>
      </c>
      <c r="J406" s="9">
        <v>8</v>
      </c>
      <c r="M406" s="23">
        <f t="shared" ref="M406" si="202">H406*D403+$J$10+B403*G406</f>
        <v>343</v>
      </c>
    </row>
    <row r="407" spans="1:13">
      <c r="E407" s="4">
        <f t="shared" si="194"/>
        <v>407</v>
      </c>
      <c r="F407" s="9" t="s">
        <v>35</v>
      </c>
      <c r="M407" s="23">
        <v>1000</v>
      </c>
    </row>
    <row r="408" spans="1:13">
      <c r="E408" s="4">
        <f t="shared" si="194"/>
        <v>408</v>
      </c>
      <c r="F408" s="9" t="s">
        <v>29</v>
      </c>
      <c r="M408" s="23" t="s">
        <v>229</v>
      </c>
    </row>
    <row r="409" spans="1:13">
      <c r="E409" s="4">
        <f t="shared" si="194"/>
        <v>409</v>
      </c>
      <c r="F409" s="9" t="s">
        <v>118</v>
      </c>
      <c r="M409" s="23" t="s">
        <v>230</v>
      </c>
    </row>
    <row r="410" spans="1:13">
      <c r="E410" s="4">
        <f t="shared" si="194"/>
        <v>410</v>
      </c>
      <c r="F410" s="9" t="s">
        <v>114</v>
      </c>
      <c r="M410" s="23" t="b">
        <v>1</v>
      </c>
    </row>
    <row r="411" spans="1:13">
      <c r="E411" s="4">
        <f t="shared" si="194"/>
        <v>411</v>
      </c>
      <c r="F411" s="9" t="s">
        <v>98</v>
      </c>
      <c r="K411" s="9" t="s">
        <v>137</v>
      </c>
      <c r="M411" s="23">
        <v>2</v>
      </c>
    </row>
    <row r="412" spans="1:13">
      <c r="E412" s="4">
        <f t="shared" si="194"/>
        <v>412</v>
      </c>
      <c r="F412" s="9" t="s">
        <v>30</v>
      </c>
      <c r="G412" s="9">
        <v>2.5</v>
      </c>
      <c r="I412" s="9">
        <v>0</v>
      </c>
      <c r="M412" s="23">
        <f t="shared" ref="M412" si="203">$G$16+$I$16*D403</f>
        <v>2.5</v>
      </c>
    </row>
    <row r="413" spans="1:13">
      <c r="E413" s="4">
        <f t="shared" si="194"/>
        <v>413</v>
      </c>
      <c r="F413" s="9" t="s">
        <v>31</v>
      </c>
      <c r="L413" s="9" t="s">
        <v>135</v>
      </c>
      <c r="M413" s="23" t="s">
        <v>231</v>
      </c>
    </row>
    <row r="414" spans="1:13">
      <c r="E414" s="4">
        <f t="shared" si="194"/>
        <v>414</v>
      </c>
      <c r="F414" s="9" t="s">
        <v>143</v>
      </c>
      <c r="G414" s="9">
        <v>30</v>
      </c>
      <c r="H414" s="9">
        <v>-30</v>
      </c>
      <c r="I414" s="9">
        <v>-10</v>
      </c>
      <c r="J414" s="9" t="s">
        <v>34</v>
      </c>
      <c r="L414" s="9" t="s">
        <v>134</v>
      </c>
      <c r="M414" s="23">
        <f t="shared" ref="M414" si="204">IF(MOD(QUOTIENT(D403-1,$G$8),2)=0,$G$18+$I$18*MOD(D403-1,$G$8),$H$18+$J$18*MOD(D403-1,$G$8))</f>
        <v>-20</v>
      </c>
    </row>
    <row r="415" spans="1:13">
      <c r="A415" s="22" t="s">
        <v>227</v>
      </c>
      <c r="B415" s="22">
        <f t="shared" ref="B415" si="205">QUOTIENT( D415-1,G416)+1</f>
        <v>5</v>
      </c>
      <c r="C415" s="22">
        <f t="shared" ref="C415" si="206">D415-(B415-1)*G416</f>
        <v>7</v>
      </c>
      <c r="D415" s="22">
        <f>COUNT($D$6:$D414)+1</f>
        <v>35</v>
      </c>
      <c r="E415" s="4"/>
    </row>
    <row r="416" spans="1:13">
      <c r="E416" s="4">
        <f t="shared" si="194"/>
        <v>416</v>
      </c>
      <c r="F416" s="9" t="s">
        <v>93</v>
      </c>
      <c r="G416" s="9" t="s">
        <v>39</v>
      </c>
      <c r="H416" s="9" t="s">
        <v>39</v>
      </c>
      <c r="J416" s="9">
        <v>11100</v>
      </c>
      <c r="M416" s="23">
        <f t="shared" ref="M416" si="207">$J$8+D415</f>
        <v>11135</v>
      </c>
    </row>
    <row r="417" spans="1:13">
      <c r="E417" s="4">
        <f t="shared" si="194"/>
        <v>417</v>
      </c>
      <c r="F417" s="9" t="s">
        <v>144</v>
      </c>
      <c r="M417" s="23">
        <v>104020</v>
      </c>
    </row>
    <row r="418" spans="1:13">
      <c r="E418" s="4">
        <f t="shared" si="194"/>
        <v>418</v>
      </c>
      <c r="F418" s="9" t="s">
        <v>126</v>
      </c>
      <c r="G418" s="9">
        <v>-1</v>
      </c>
      <c r="H418" s="9">
        <v>10</v>
      </c>
      <c r="J418" s="9">
        <v>8</v>
      </c>
      <c r="M418" s="23">
        <f t="shared" ref="M418" si="208">H418*D415+$J$10+B415*G418</f>
        <v>353</v>
      </c>
    </row>
    <row r="419" spans="1:13">
      <c r="E419" s="4">
        <f t="shared" si="194"/>
        <v>419</v>
      </c>
      <c r="F419" s="9" t="s">
        <v>35</v>
      </c>
      <c r="M419" s="23">
        <v>1000</v>
      </c>
    </row>
    <row r="420" spans="1:13">
      <c r="E420" s="4">
        <f t="shared" si="194"/>
        <v>420</v>
      </c>
      <c r="F420" s="9" t="s">
        <v>29</v>
      </c>
      <c r="M420" s="23" t="s">
        <v>229</v>
      </c>
    </row>
    <row r="421" spans="1:13">
      <c r="E421" s="4">
        <f t="shared" si="194"/>
        <v>421</v>
      </c>
      <c r="F421" s="9" t="s">
        <v>118</v>
      </c>
      <c r="M421" s="23" t="s">
        <v>230</v>
      </c>
    </row>
    <row r="422" spans="1:13">
      <c r="E422" s="4">
        <f t="shared" si="194"/>
        <v>422</v>
      </c>
      <c r="F422" s="9" t="s">
        <v>114</v>
      </c>
      <c r="M422" s="23" t="b">
        <v>1</v>
      </c>
    </row>
    <row r="423" spans="1:13">
      <c r="E423" s="4">
        <f t="shared" si="194"/>
        <v>423</v>
      </c>
      <c r="F423" s="9" t="s">
        <v>98</v>
      </c>
      <c r="K423" s="9" t="s">
        <v>137</v>
      </c>
      <c r="M423" s="23">
        <v>2</v>
      </c>
    </row>
    <row r="424" spans="1:13">
      <c r="E424" s="4">
        <f t="shared" si="194"/>
        <v>424</v>
      </c>
      <c r="F424" s="9" t="s">
        <v>30</v>
      </c>
      <c r="G424" s="9">
        <v>2.5</v>
      </c>
      <c r="I424" s="9">
        <v>0</v>
      </c>
      <c r="M424" s="23">
        <f t="shared" ref="M424" si="209">$G$16+$I$16*D415</f>
        <v>2.5</v>
      </c>
    </row>
    <row r="425" spans="1:13">
      <c r="E425" s="4">
        <f t="shared" si="194"/>
        <v>425</v>
      </c>
      <c r="F425" s="9" t="s">
        <v>31</v>
      </c>
      <c r="L425" s="9" t="s">
        <v>135</v>
      </c>
      <c r="M425" s="23" t="s">
        <v>231</v>
      </c>
    </row>
    <row r="426" spans="1:13">
      <c r="E426" s="4">
        <f t="shared" si="194"/>
        <v>426</v>
      </c>
      <c r="F426" s="9" t="s">
        <v>143</v>
      </c>
      <c r="G426" s="9">
        <v>30</v>
      </c>
      <c r="H426" s="9">
        <v>-30</v>
      </c>
      <c r="I426" s="9">
        <v>-10</v>
      </c>
      <c r="J426" s="9" t="s">
        <v>34</v>
      </c>
      <c r="L426" s="9" t="s">
        <v>134</v>
      </c>
      <c r="M426" s="23">
        <f t="shared" ref="M426" si="210">IF(MOD(QUOTIENT(D415-1,$G$8),2)=0,$G$18+$I$18*MOD(D415-1,$G$8),$H$18+$J$18*MOD(D415-1,$G$8))</f>
        <v>-30</v>
      </c>
    </row>
    <row r="427" spans="1:13">
      <c r="A427" s="22" t="s">
        <v>227</v>
      </c>
      <c r="B427" s="22">
        <f t="shared" ref="B427" si="211">QUOTIENT( D427-1,G428)+1</f>
        <v>6</v>
      </c>
      <c r="C427" s="22">
        <f t="shared" ref="C427" si="212">D427-(B427-1)*G428</f>
        <v>1</v>
      </c>
      <c r="D427" s="22">
        <f>COUNT($D$6:$D426)+1</f>
        <v>36</v>
      </c>
      <c r="E427" s="4"/>
    </row>
    <row r="428" spans="1:13">
      <c r="E428" s="4">
        <f t="shared" si="194"/>
        <v>428</v>
      </c>
      <c r="F428" s="9" t="s">
        <v>93</v>
      </c>
      <c r="G428" s="9" t="s">
        <v>39</v>
      </c>
      <c r="H428" s="9" t="s">
        <v>39</v>
      </c>
      <c r="J428" s="9">
        <v>11100</v>
      </c>
      <c r="M428" s="23">
        <f t="shared" ref="M428" si="213">$J$8+D427</f>
        <v>11136</v>
      </c>
    </row>
    <row r="429" spans="1:13">
      <c r="E429" s="4">
        <f t="shared" si="194"/>
        <v>429</v>
      </c>
      <c r="F429" s="9" t="s">
        <v>144</v>
      </c>
      <c r="M429" s="23">
        <v>104020</v>
      </c>
    </row>
    <row r="430" spans="1:13">
      <c r="E430" s="4">
        <f t="shared" si="194"/>
        <v>430</v>
      </c>
      <c r="F430" s="9" t="s">
        <v>126</v>
      </c>
      <c r="G430" s="9">
        <v>-1</v>
      </c>
      <c r="H430" s="9">
        <v>10</v>
      </c>
      <c r="J430" s="9">
        <v>8</v>
      </c>
      <c r="M430" s="23">
        <f t="shared" ref="M430" si="214">H430*D427+$J$10+B427*G430</f>
        <v>362</v>
      </c>
    </row>
    <row r="431" spans="1:13">
      <c r="E431" s="4">
        <f t="shared" si="194"/>
        <v>431</v>
      </c>
      <c r="F431" s="9" t="s">
        <v>35</v>
      </c>
      <c r="M431" s="23">
        <v>1000</v>
      </c>
    </row>
    <row r="432" spans="1:13">
      <c r="E432" s="4">
        <f t="shared" si="194"/>
        <v>432</v>
      </c>
      <c r="F432" s="9" t="s">
        <v>29</v>
      </c>
      <c r="M432" s="23" t="s">
        <v>229</v>
      </c>
    </row>
    <row r="433" spans="1:13">
      <c r="E433" s="4">
        <f t="shared" si="194"/>
        <v>433</v>
      </c>
      <c r="F433" s="9" t="s">
        <v>118</v>
      </c>
      <c r="M433" s="23" t="s">
        <v>230</v>
      </c>
    </row>
    <row r="434" spans="1:13">
      <c r="E434" s="4">
        <f t="shared" si="194"/>
        <v>434</v>
      </c>
      <c r="F434" s="9" t="s">
        <v>114</v>
      </c>
      <c r="M434" s="23" t="b">
        <v>1</v>
      </c>
    </row>
    <row r="435" spans="1:13">
      <c r="E435" s="4">
        <f t="shared" si="194"/>
        <v>435</v>
      </c>
      <c r="F435" s="9" t="s">
        <v>98</v>
      </c>
      <c r="K435" s="9" t="s">
        <v>137</v>
      </c>
      <c r="M435" s="23">
        <v>2</v>
      </c>
    </row>
    <row r="436" spans="1:13">
      <c r="E436" s="4">
        <f t="shared" si="194"/>
        <v>436</v>
      </c>
      <c r="F436" s="9" t="s">
        <v>30</v>
      </c>
      <c r="G436" s="9">
        <v>2.5</v>
      </c>
      <c r="I436" s="9">
        <v>0</v>
      </c>
      <c r="M436" s="23">
        <f t="shared" ref="M436" si="215">$G$16+$I$16*D427</f>
        <v>2.5</v>
      </c>
    </row>
    <row r="437" spans="1:13">
      <c r="E437" s="4">
        <f t="shared" si="194"/>
        <v>437</v>
      </c>
      <c r="F437" s="9" t="s">
        <v>31</v>
      </c>
      <c r="L437" s="9" t="s">
        <v>135</v>
      </c>
      <c r="M437" s="23" t="s">
        <v>231</v>
      </c>
    </row>
    <row r="438" spans="1:13">
      <c r="E438" s="4">
        <f t="shared" si="194"/>
        <v>438</v>
      </c>
      <c r="F438" s="9" t="s">
        <v>143</v>
      </c>
      <c r="G438" s="9">
        <v>30</v>
      </c>
      <c r="H438" s="9">
        <v>-30</v>
      </c>
      <c r="I438" s="9">
        <v>-10</v>
      </c>
      <c r="J438" s="9" t="s">
        <v>34</v>
      </c>
      <c r="L438" s="9" t="s">
        <v>134</v>
      </c>
      <c r="M438" s="23">
        <f t="shared" ref="M438" si="216">IF(MOD(QUOTIENT(D427-1,$G$8),2)=0,$G$18+$I$18*MOD(D427-1,$G$8),$H$18+$J$18*MOD(D427-1,$G$8))</f>
        <v>-30</v>
      </c>
    </row>
    <row r="439" spans="1:13">
      <c r="A439" s="22" t="s">
        <v>227</v>
      </c>
      <c r="B439" s="22">
        <f t="shared" ref="B439" si="217">QUOTIENT( D439-1,G440)+1</f>
        <v>6</v>
      </c>
      <c r="C439" s="22">
        <f t="shared" ref="C439" si="218">D439-(B439-1)*G440</f>
        <v>2</v>
      </c>
      <c r="D439" s="22">
        <f>COUNT($D$6:$D438)+1</f>
        <v>37</v>
      </c>
      <c r="E439" s="4"/>
    </row>
    <row r="440" spans="1:13">
      <c r="E440" s="4">
        <f t="shared" si="194"/>
        <v>440</v>
      </c>
      <c r="F440" s="9" t="s">
        <v>93</v>
      </c>
      <c r="G440" s="9" t="s">
        <v>39</v>
      </c>
      <c r="H440" s="9" t="s">
        <v>39</v>
      </c>
      <c r="J440" s="9">
        <v>11100</v>
      </c>
      <c r="M440" s="23">
        <f t="shared" ref="M440" si="219">$J$8+D439</f>
        <v>11137</v>
      </c>
    </row>
    <row r="441" spans="1:13">
      <c r="E441" s="4">
        <f t="shared" si="194"/>
        <v>441</v>
      </c>
      <c r="F441" s="9" t="s">
        <v>144</v>
      </c>
      <c r="M441" s="23">
        <v>104020</v>
      </c>
    </row>
    <row r="442" spans="1:13">
      <c r="E442" s="4">
        <f t="shared" si="194"/>
        <v>442</v>
      </c>
      <c r="F442" s="9" t="s">
        <v>126</v>
      </c>
      <c r="G442" s="9">
        <v>-1</v>
      </c>
      <c r="H442" s="9">
        <v>10</v>
      </c>
      <c r="J442" s="9">
        <v>8</v>
      </c>
      <c r="M442" s="23">
        <f t="shared" ref="M442" si="220">H442*D439+$J$10+B439*G442</f>
        <v>372</v>
      </c>
    </row>
    <row r="443" spans="1:13">
      <c r="E443" s="4">
        <f t="shared" si="194"/>
        <v>443</v>
      </c>
      <c r="F443" s="9" t="s">
        <v>35</v>
      </c>
      <c r="M443" s="23">
        <v>1000</v>
      </c>
    </row>
    <row r="444" spans="1:13">
      <c r="E444" s="4">
        <f t="shared" si="194"/>
        <v>444</v>
      </c>
      <c r="F444" s="9" t="s">
        <v>29</v>
      </c>
      <c r="M444" s="23" t="s">
        <v>229</v>
      </c>
    </row>
    <row r="445" spans="1:13">
      <c r="E445" s="4">
        <f t="shared" si="194"/>
        <v>445</v>
      </c>
      <c r="F445" s="9" t="s">
        <v>118</v>
      </c>
      <c r="M445" s="23" t="s">
        <v>230</v>
      </c>
    </row>
    <row r="446" spans="1:13">
      <c r="E446" s="4">
        <f t="shared" si="194"/>
        <v>446</v>
      </c>
      <c r="F446" s="9" t="s">
        <v>114</v>
      </c>
      <c r="M446" s="23" t="b">
        <v>1</v>
      </c>
    </row>
    <row r="447" spans="1:13">
      <c r="E447" s="4">
        <f t="shared" si="194"/>
        <v>447</v>
      </c>
      <c r="F447" s="9" t="s">
        <v>98</v>
      </c>
      <c r="K447" s="9" t="s">
        <v>137</v>
      </c>
      <c r="M447" s="23">
        <v>2</v>
      </c>
    </row>
    <row r="448" spans="1:13">
      <c r="E448" s="4">
        <f t="shared" si="194"/>
        <v>448</v>
      </c>
      <c r="F448" s="9" t="s">
        <v>30</v>
      </c>
      <c r="G448" s="9">
        <v>2.5</v>
      </c>
      <c r="I448" s="9">
        <v>0</v>
      </c>
      <c r="M448" s="23">
        <f t="shared" ref="M448" si="221">$G$16+$I$16*D439</f>
        <v>2.5</v>
      </c>
    </row>
    <row r="449" spans="1:13">
      <c r="E449" s="4">
        <f t="shared" si="194"/>
        <v>449</v>
      </c>
      <c r="F449" s="9" t="s">
        <v>31</v>
      </c>
      <c r="L449" s="9" t="s">
        <v>135</v>
      </c>
      <c r="M449" s="23" t="s">
        <v>231</v>
      </c>
    </row>
    <row r="450" spans="1:13">
      <c r="E450" s="4">
        <f t="shared" si="194"/>
        <v>450</v>
      </c>
      <c r="F450" s="9" t="s">
        <v>143</v>
      </c>
      <c r="G450" s="9">
        <v>30</v>
      </c>
      <c r="H450" s="9">
        <v>-30</v>
      </c>
      <c r="I450" s="9">
        <v>-10</v>
      </c>
      <c r="J450" s="9" t="s">
        <v>34</v>
      </c>
      <c r="L450" s="9" t="s">
        <v>134</v>
      </c>
      <c r="M450" s="23">
        <f t="shared" ref="M450" si="222">IF(MOD(QUOTIENT(D439-1,$G$8),2)=0,$G$18+$I$18*MOD(D439-1,$G$8),$H$18+$J$18*MOD(D439-1,$G$8))</f>
        <v>-20</v>
      </c>
    </row>
    <row r="451" spans="1:13">
      <c r="A451" s="22" t="s">
        <v>227</v>
      </c>
      <c r="B451" s="22">
        <f t="shared" ref="B451" si="223">QUOTIENT( D451-1,G452)+1</f>
        <v>6</v>
      </c>
      <c r="C451" s="22">
        <f t="shared" ref="C451" si="224">D451-(B451-1)*G452</f>
        <v>3</v>
      </c>
      <c r="D451" s="22">
        <f>COUNT($D$6:$D450)+1</f>
        <v>38</v>
      </c>
      <c r="E451" s="4"/>
    </row>
    <row r="452" spans="1:13">
      <c r="E452" s="4">
        <f t="shared" si="194"/>
        <v>452</v>
      </c>
      <c r="F452" s="9" t="s">
        <v>93</v>
      </c>
      <c r="G452" s="9" t="s">
        <v>39</v>
      </c>
      <c r="H452" s="9" t="s">
        <v>39</v>
      </c>
      <c r="J452" s="9">
        <v>11100</v>
      </c>
      <c r="M452" s="23">
        <f t="shared" ref="M452" si="225">$J$8+D451</f>
        <v>11138</v>
      </c>
    </row>
    <row r="453" spans="1:13">
      <c r="E453" s="4">
        <f t="shared" si="194"/>
        <v>453</v>
      </c>
      <c r="F453" s="9" t="s">
        <v>144</v>
      </c>
      <c r="M453" s="23">
        <v>104020</v>
      </c>
    </row>
    <row r="454" spans="1:13">
      <c r="E454" s="4">
        <f t="shared" si="194"/>
        <v>454</v>
      </c>
      <c r="F454" s="9" t="s">
        <v>126</v>
      </c>
      <c r="G454" s="9">
        <v>-1</v>
      </c>
      <c r="H454" s="9">
        <v>10</v>
      </c>
      <c r="J454" s="9">
        <v>8</v>
      </c>
      <c r="M454" s="23">
        <f t="shared" ref="M454" si="226">H454*D451+$J$10+B451*G454</f>
        <v>382</v>
      </c>
    </row>
    <row r="455" spans="1:13">
      <c r="E455" s="4">
        <f t="shared" si="194"/>
        <v>455</v>
      </c>
      <c r="F455" s="9" t="s">
        <v>35</v>
      </c>
      <c r="M455" s="23">
        <v>1000</v>
      </c>
    </row>
    <row r="456" spans="1:13">
      <c r="E456" s="4">
        <f t="shared" ref="E456:E519" si="227">ROW(E456)</f>
        <v>456</v>
      </c>
      <c r="F456" s="9" t="s">
        <v>29</v>
      </c>
      <c r="M456" s="23" t="s">
        <v>229</v>
      </c>
    </row>
    <row r="457" spans="1:13">
      <c r="E457" s="4">
        <f t="shared" si="227"/>
        <v>457</v>
      </c>
      <c r="F457" s="9" t="s">
        <v>118</v>
      </c>
      <c r="M457" s="23" t="s">
        <v>230</v>
      </c>
    </row>
    <row r="458" spans="1:13">
      <c r="E458" s="4">
        <f t="shared" si="227"/>
        <v>458</v>
      </c>
      <c r="F458" s="9" t="s">
        <v>114</v>
      </c>
      <c r="M458" s="23" t="b">
        <v>1</v>
      </c>
    </row>
    <row r="459" spans="1:13">
      <c r="E459" s="4">
        <f t="shared" si="227"/>
        <v>459</v>
      </c>
      <c r="F459" s="9" t="s">
        <v>98</v>
      </c>
      <c r="K459" s="9" t="s">
        <v>137</v>
      </c>
      <c r="M459" s="23">
        <v>2</v>
      </c>
    </row>
    <row r="460" spans="1:13">
      <c r="E460" s="4">
        <f t="shared" si="227"/>
        <v>460</v>
      </c>
      <c r="F460" s="9" t="s">
        <v>30</v>
      </c>
      <c r="G460" s="9">
        <v>2.5</v>
      </c>
      <c r="I460" s="9">
        <v>0</v>
      </c>
      <c r="M460" s="23">
        <f t="shared" ref="M460" si="228">$G$16+$I$16*D451</f>
        <v>2.5</v>
      </c>
    </row>
    <row r="461" spans="1:13">
      <c r="E461" s="4">
        <f t="shared" si="227"/>
        <v>461</v>
      </c>
      <c r="F461" s="9" t="s">
        <v>31</v>
      </c>
      <c r="L461" s="9" t="s">
        <v>135</v>
      </c>
      <c r="M461" s="23" t="s">
        <v>231</v>
      </c>
    </row>
    <row r="462" spans="1:13">
      <c r="E462" s="4">
        <f t="shared" si="227"/>
        <v>462</v>
      </c>
      <c r="F462" s="9" t="s">
        <v>143</v>
      </c>
      <c r="G462" s="9">
        <v>30</v>
      </c>
      <c r="H462" s="9">
        <v>-30</v>
      </c>
      <c r="I462" s="9">
        <v>-10</v>
      </c>
      <c r="J462" s="9" t="s">
        <v>34</v>
      </c>
      <c r="L462" s="9" t="s">
        <v>134</v>
      </c>
      <c r="M462" s="23">
        <f t="shared" ref="M462" si="229">IF(MOD(QUOTIENT(D451-1,$G$8),2)=0,$G$18+$I$18*MOD(D451-1,$G$8),$H$18+$J$18*MOD(D451-1,$G$8))</f>
        <v>-10</v>
      </c>
    </row>
    <row r="463" spans="1:13">
      <c r="A463" s="22" t="s">
        <v>227</v>
      </c>
      <c r="B463" s="22">
        <f t="shared" ref="B463" si="230">QUOTIENT( D463-1,G464)+1</f>
        <v>6</v>
      </c>
      <c r="C463" s="22">
        <f t="shared" ref="C463" si="231">D463-(B463-1)*G464</f>
        <v>4</v>
      </c>
      <c r="D463" s="22">
        <f>COUNT($D$6:$D462)+1</f>
        <v>39</v>
      </c>
      <c r="E463" s="4"/>
    </row>
    <row r="464" spans="1:13">
      <c r="E464" s="4">
        <f t="shared" si="227"/>
        <v>464</v>
      </c>
      <c r="F464" s="9" t="s">
        <v>93</v>
      </c>
      <c r="G464" s="9" t="s">
        <v>39</v>
      </c>
      <c r="H464" s="9" t="s">
        <v>39</v>
      </c>
      <c r="J464" s="9">
        <v>11100</v>
      </c>
      <c r="M464" s="23">
        <f t="shared" ref="M464" si="232">$J$8+D463</f>
        <v>11139</v>
      </c>
    </row>
    <row r="465" spans="1:13">
      <c r="E465" s="4">
        <f t="shared" si="227"/>
        <v>465</v>
      </c>
      <c r="F465" s="9" t="s">
        <v>144</v>
      </c>
      <c r="M465" s="23">
        <v>104020</v>
      </c>
    </row>
    <row r="466" spans="1:13">
      <c r="E466" s="4">
        <f t="shared" si="227"/>
        <v>466</v>
      </c>
      <c r="F466" s="9" t="s">
        <v>126</v>
      </c>
      <c r="G466" s="9">
        <v>-1</v>
      </c>
      <c r="H466" s="9">
        <v>10</v>
      </c>
      <c r="J466" s="9">
        <v>8</v>
      </c>
      <c r="M466" s="23">
        <f t="shared" ref="M466" si="233">H466*D463+$J$10+B463*G466</f>
        <v>392</v>
      </c>
    </row>
    <row r="467" spans="1:13">
      <c r="E467" s="4">
        <f t="shared" si="227"/>
        <v>467</v>
      </c>
      <c r="F467" s="9" t="s">
        <v>35</v>
      </c>
      <c r="M467" s="23">
        <v>1000</v>
      </c>
    </row>
    <row r="468" spans="1:13">
      <c r="E468" s="4">
        <f t="shared" si="227"/>
        <v>468</v>
      </c>
      <c r="F468" s="9" t="s">
        <v>29</v>
      </c>
      <c r="M468" s="23" t="s">
        <v>229</v>
      </c>
    </row>
    <row r="469" spans="1:13">
      <c r="E469" s="4">
        <f t="shared" si="227"/>
        <v>469</v>
      </c>
      <c r="F469" s="9" t="s">
        <v>118</v>
      </c>
      <c r="M469" s="23" t="s">
        <v>230</v>
      </c>
    </row>
    <row r="470" spans="1:13">
      <c r="E470" s="4">
        <f t="shared" si="227"/>
        <v>470</v>
      </c>
      <c r="F470" s="9" t="s">
        <v>114</v>
      </c>
      <c r="M470" s="23" t="b">
        <v>1</v>
      </c>
    </row>
    <row r="471" spans="1:13">
      <c r="E471" s="4">
        <f t="shared" si="227"/>
        <v>471</v>
      </c>
      <c r="F471" s="9" t="s">
        <v>98</v>
      </c>
      <c r="K471" s="9" t="s">
        <v>137</v>
      </c>
      <c r="M471" s="23">
        <v>2</v>
      </c>
    </row>
    <row r="472" spans="1:13">
      <c r="E472" s="4">
        <f t="shared" si="227"/>
        <v>472</v>
      </c>
      <c r="F472" s="9" t="s">
        <v>30</v>
      </c>
      <c r="G472" s="9">
        <v>2.5</v>
      </c>
      <c r="I472" s="9">
        <v>0</v>
      </c>
      <c r="M472" s="23">
        <f t="shared" ref="M472" si="234">$G$16+$I$16*D463</f>
        <v>2.5</v>
      </c>
    </row>
    <row r="473" spans="1:13">
      <c r="E473" s="4">
        <f t="shared" si="227"/>
        <v>473</v>
      </c>
      <c r="F473" s="9" t="s">
        <v>31</v>
      </c>
      <c r="L473" s="9" t="s">
        <v>135</v>
      </c>
      <c r="M473" s="23" t="s">
        <v>231</v>
      </c>
    </row>
    <row r="474" spans="1:13">
      <c r="E474" s="4">
        <f t="shared" si="227"/>
        <v>474</v>
      </c>
      <c r="F474" s="9" t="s">
        <v>143</v>
      </c>
      <c r="G474" s="9">
        <v>30</v>
      </c>
      <c r="H474" s="9">
        <v>-30</v>
      </c>
      <c r="I474" s="9">
        <v>-10</v>
      </c>
      <c r="J474" s="9" t="s">
        <v>34</v>
      </c>
      <c r="L474" s="9" t="s">
        <v>134</v>
      </c>
      <c r="M474" s="23">
        <f t="shared" ref="M474" si="235">IF(MOD(QUOTIENT(D463-1,$G$8),2)=0,$G$18+$I$18*MOD(D463-1,$G$8),$H$18+$J$18*MOD(D463-1,$G$8))</f>
        <v>0</v>
      </c>
    </row>
    <row r="475" spans="1:13">
      <c r="A475" s="22" t="s">
        <v>227</v>
      </c>
      <c r="B475" s="22">
        <f t="shared" ref="B475" si="236">QUOTIENT( D475-1,G476)+1</f>
        <v>6</v>
      </c>
      <c r="C475" s="22">
        <f t="shared" ref="C475" si="237">D475-(B475-1)*G476</f>
        <v>5</v>
      </c>
      <c r="D475" s="22">
        <f>COUNT($D$6:$D474)+1</f>
        <v>40</v>
      </c>
      <c r="E475" s="4"/>
    </row>
    <row r="476" spans="1:13">
      <c r="E476" s="4">
        <f t="shared" si="227"/>
        <v>476</v>
      </c>
      <c r="F476" s="9" t="s">
        <v>93</v>
      </c>
      <c r="G476" s="9" t="s">
        <v>39</v>
      </c>
      <c r="H476" s="9" t="s">
        <v>39</v>
      </c>
      <c r="J476" s="9">
        <v>11100</v>
      </c>
      <c r="M476" s="23">
        <f t="shared" ref="M476" si="238">$J$8+D475</f>
        <v>11140</v>
      </c>
    </row>
    <row r="477" spans="1:13">
      <c r="E477" s="4">
        <f t="shared" si="227"/>
        <v>477</v>
      </c>
      <c r="F477" s="9" t="s">
        <v>144</v>
      </c>
      <c r="M477" s="23">
        <v>104020</v>
      </c>
    </row>
    <row r="478" spans="1:13">
      <c r="E478" s="4">
        <f t="shared" si="227"/>
        <v>478</v>
      </c>
      <c r="F478" s="9" t="s">
        <v>126</v>
      </c>
      <c r="G478" s="9">
        <v>-1</v>
      </c>
      <c r="H478" s="9">
        <v>10</v>
      </c>
      <c r="J478" s="9">
        <v>8</v>
      </c>
      <c r="M478" s="23">
        <f t="shared" ref="M478" si="239">H478*D475+$J$10+B475*G478</f>
        <v>402</v>
      </c>
    </row>
    <row r="479" spans="1:13">
      <c r="E479" s="4">
        <f t="shared" si="227"/>
        <v>479</v>
      </c>
      <c r="F479" s="9" t="s">
        <v>35</v>
      </c>
      <c r="M479" s="23">
        <v>1000</v>
      </c>
    </row>
    <row r="480" spans="1:13">
      <c r="E480" s="4">
        <f t="shared" si="227"/>
        <v>480</v>
      </c>
      <c r="F480" s="9" t="s">
        <v>29</v>
      </c>
      <c r="M480" s="23" t="s">
        <v>229</v>
      </c>
    </row>
    <row r="481" spans="1:13">
      <c r="E481" s="4">
        <f t="shared" si="227"/>
        <v>481</v>
      </c>
      <c r="F481" s="9" t="s">
        <v>118</v>
      </c>
      <c r="M481" s="23" t="s">
        <v>230</v>
      </c>
    </row>
    <row r="482" spans="1:13">
      <c r="E482" s="4">
        <f t="shared" si="227"/>
        <v>482</v>
      </c>
      <c r="F482" s="9" t="s">
        <v>114</v>
      </c>
      <c r="M482" s="23" t="b">
        <v>1</v>
      </c>
    </row>
    <row r="483" spans="1:13">
      <c r="E483" s="4">
        <f t="shared" si="227"/>
        <v>483</v>
      </c>
      <c r="F483" s="9" t="s">
        <v>98</v>
      </c>
      <c r="K483" s="9" t="s">
        <v>137</v>
      </c>
      <c r="M483" s="23">
        <v>2</v>
      </c>
    </row>
    <row r="484" spans="1:13">
      <c r="E484" s="4">
        <f t="shared" si="227"/>
        <v>484</v>
      </c>
      <c r="F484" s="9" t="s">
        <v>30</v>
      </c>
      <c r="G484" s="9">
        <v>2.5</v>
      </c>
      <c r="I484" s="9">
        <v>0</v>
      </c>
      <c r="M484" s="23">
        <f t="shared" ref="M484" si="240">$G$16+$I$16*D475</f>
        <v>2.5</v>
      </c>
    </row>
    <row r="485" spans="1:13">
      <c r="E485" s="4">
        <f t="shared" si="227"/>
        <v>485</v>
      </c>
      <c r="F485" s="9" t="s">
        <v>31</v>
      </c>
      <c r="L485" s="9" t="s">
        <v>135</v>
      </c>
      <c r="M485" s="23" t="s">
        <v>231</v>
      </c>
    </row>
    <row r="486" spans="1:13">
      <c r="E486" s="4">
        <f t="shared" si="227"/>
        <v>486</v>
      </c>
      <c r="F486" s="9" t="s">
        <v>143</v>
      </c>
      <c r="G486" s="9">
        <v>30</v>
      </c>
      <c r="H486" s="9">
        <v>-30</v>
      </c>
      <c r="I486" s="9">
        <v>-10</v>
      </c>
      <c r="J486" s="9" t="s">
        <v>34</v>
      </c>
      <c r="L486" s="9" t="s">
        <v>134</v>
      </c>
      <c r="M486" s="23">
        <f t="shared" ref="M486" si="241">IF(MOD(QUOTIENT(D475-1,$G$8),2)=0,$G$18+$I$18*MOD(D475-1,$G$8),$H$18+$J$18*MOD(D475-1,$G$8))</f>
        <v>10</v>
      </c>
    </row>
    <row r="487" spans="1:13">
      <c r="A487" s="22" t="s">
        <v>227</v>
      </c>
      <c r="B487" s="22">
        <f t="shared" ref="B487" si="242">QUOTIENT( D487-1,G488)+1</f>
        <v>6</v>
      </c>
      <c r="C487" s="22">
        <f t="shared" ref="C487" si="243">D487-(B487-1)*G488</f>
        <v>6</v>
      </c>
      <c r="D487" s="22">
        <f>COUNT($D$6:$D486)+1</f>
        <v>41</v>
      </c>
      <c r="E487" s="4"/>
    </row>
    <row r="488" spans="1:13">
      <c r="E488" s="4">
        <f t="shared" si="227"/>
        <v>488</v>
      </c>
      <c r="F488" s="9" t="s">
        <v>93</v>
      </c>
      <c r="G488" s="9" t="s">
        <v>39</v>
      </c>
      <c r="H488" s="9" t="s">
        <v>39</v>
      </c>
      <c r="J488" s="9">
        <v>11100</v>
      </c>
      <c r="M488" s="23">
        <f t="shared" ref="M488" si="244">$J$8+D487</f>
        <v>11141</v>
      </c>
    </row>
    <row r="489" spans="1:13">
      <c r="E489" s="4">
        <f t="shared" si="227"/>
        <v>489</v>
      </c>
      <c r="F489" s="9" t="s">
        <v>144</v>
      </c>
      <c r="M489" s="23">
        <v>104020</v>
      </c>
    </row>
    <row r="490" spans="1:13">
      <c r="E490" s="4">
        <f t="shared" si="227"/>
        <v>490</v>
      </c>
      <c r="F490" s="9" t="s">
        <v>126</v>
      </c>
      <c r="G490" s="9">
        <v>-1</v>
      </c>
      <c r="H490" s="9">
        <v>10</v>
      </c>
      <c r="J490" s="9">
        <v>8</v>
      </c>
      <c r="M490" s="23">
        <f t="shared" ref="M490" si="245">H490*D487+$J$10+B487*G490</f>
        <v>412</v>
      </c>
    </row>
    <row r="491" spans="1:13">
      <c r="E491" s="4">
        <f t="shared" si="227"/>
        <v>491</v>
      </c>
      <c r="F491" s="9" t="s">
        <v>35</v>
      </c>
      <c r="M491" s="23">
        <v>1000</v>
      </c>
    </row>
    <row r="492" spans="1:13">
      <c r="E492" s="4">
        <f t="shared" si="227"/>
        <v>492</v>
      </c>
      <c r="F492" s="9" t="s">
        <v>29</v>
      </c>
      <c r="M492" s="23" t="s">
        <v>229</v>
      </c>
    </row>
    <row r="493" spans="1:13">
      <c r="E493" s="4">
        <f t="shared" si="227"/>
        <v>493</v>
      </c>
      <c r="F493" s="9" t="s">
        <v>118</v>
      </c>
      <c r="M493" s="23" t="s">
        <v>230</v>
      </c>
    </row>
    <row r="494" spans="1:13">
      <c r="E494" s="4">
        <f t="shared" si="227"/>
        <v>494</v>
      </c>
      <c r="F494" s="9" t="s">
        <v>114</v>
      </c>
      <c r="M494" s="23" t="b">
        <v>1</v>
      </c>
    </row>
    <row r="495" spans="1:13">
      <c r="E495" s="4">
        <f t="shared" si="227"/>
        <v>495</v>
      </c>
      <c r="F495" s="9" t="s">
        <v>98</v>
      </c>
      <c r="K495" s="9" t="s">
        <v>137</v>
      </c>
      <c r="M495" s="23">
        <v>2</v>
      </c>
    </row>
    <row r="496" spans="1:13">
      <c r="E496" s="4">
        <f t="shared" si="227"/>
        <v>496</v>
      </c>
      <c r="F496" s="9" t="s">
        <v>30</v>
      </c>
      <c r="G496" s="9">
        <v>2.5</v>
      </c>
      <c r="I496" s="9">
        <v>0</v>
      </c>
      <c r="M496" s="23">
        <f t="shared" ref="M496" si="246">$G$16+$I$16*D487</f>
        <v>2.5</v>
      </c>
    </row>
    <row r="497" spans="1:13">
      <c r="E497" s="4">
        <f t="shared" si="227"/>
        <v>497</v>
      </c>
      <c r="F497" s="9" t="s">
        <v>31</v>
      </c>
      <c r="L497" s="9" t="s">
        <v>135</v>
      </c>
      <c r="M497" s="23" t="s">
        <v>231</v>
      </c>
    </row>
    <row r="498" spans="1:13">
      <c r="E498" s="4">
        <f t="shared" si="227"/>
        <v>498</v>
      </c>
      <c r="F498" s="9" t="s">
        <v>143</v>
      </c>
      <c r="G498" s="9">
        <v>30</v>
      </c>
      <c r="H498" s="9">
        <v>-30</v>
      </c>
      <c r="I498" s="9">
        <v>-10</v>
      </c>
      <c r="J498" s="9" t="s">
        <v>34</v>
      </c>
      <c r="L498" s="9" t="s">
        <v>134</v>
      </c>
      <c r="M498" s="23">
        <f t="shared" ref="M498" si="247">IF(MOD(QUOTIENT(D487-1,$G$8),2)=0,$G$18+$I$18*MOD(D487-1,$G$8),$H$18+$J$18*MOD(D487-1,$G$8))</f>
        <v>20</v>
      </c>
    </row>
    <row r="499" spans="1:13">
      <c r="A499" s="22" t="s">
        <v>227</v>
      </c>
      <c r="B499" s="22">
        <f t="shared" ref="B499" si="248">QUOTIENT( D499-1,G500)+1</f>
        <v>6</v>
      </c>
      <c r="C499" s="22">
        <f t="shared" ref="C499" si="249">D499-(B499-1)*G500</f>
        <v>7</v>
      </c>
      <c r="D499" s="22">
        <f>COUNT($D$6:$D498)+1</f>
        <v>42</v>
      </c>
      <c r="E499" s="4"/>
    </row>
    <row r="500" spans="1:13">
      <c r="E500" s="4">
        <f t="shared" si="227"/>
        <v>500</v>
      </c>
      <c r="F500" s="9" t="s">
        <v>93</v>
      </c>
      <c r="G500" s="9" t="s">
        <v>39</v>
      </c>
      <c r="H500" s="9" t="s">
        <v>39</v>
      </c>
      <c r="J500" s="9">
        <v>11100</v>
      </c>
      <c r="M500" s="23">
        <f t="shared" ref="M500" si="250">$J$8+D499</f>
        <v>11142</v>
      </c>
    </row>
    <row r="501" spans="1:13">
      <c r="E501" s="4">
        <f t="shared" si="227"/>
        <v>501</v>
      </c>
      <c r="F501" s="9" t="s">
        <v>144</v>
      </c>
      <c r="M501" s="23">
        <v>104020</v>
      </c>
    </row>
    <row r="502" spans="1:13">
      <c r="E502" s="4">
        <f t="shared" si="227"/>
        <v>502</v>
      </c>
      <c r="F502" s="9" t="s">
        <v>126</v>
      </c>
      <c r="G502" s="9">
        <v>-1</v>
      </c>
      <c r="H502" s="9">
        <v>10</v>
      </c>
      <c r="J502" s="9">
        <v>8</v>
      </c>
      <c r="M502" s="23">
        <f t="shared" ref="M502" si="251">H502*D499+$J$10+B499*G502</f>
        <v>422</v>
      </c>
    </row>
    <row r="503" spans="1:13">
      <c r="E503" s="4">
        <f t="shared" si="227"/>
        <v>503</v>
      </c>
      <c r="F503" s="9" t="s">
        <v>35</v>
      </c>
      <c r="M503" s="23">
        <v>1000</v>
      </c>
    </row>
    <row r="504" spans="1:13">
      <c r="E504" s="4">
        <f t="shared" si="227"/>
        <v>504</v>
      </c>
      <c r="F504" s="9" t="s">
        <v>29</v>
      </c>
      <c r="M504" s="23" t="s">
        <v>229</v>
      </c>
    </row>
    <row r="505" spans="1:13">
      <c r="E505" s="4">
        <f t="shared" si="227"/>
        <v>505</v>
      </c>
      <c r="F505" s="9" t="s">
        <v>118</v>
      </c>
      <c r="M505" s="23" t="s">
        <v>230</v>
      </c>
    </row>
    <row r="506" spans="1:13">
      <c r="E506" s="4">
        <f t="shared" si="227"/>
        <v>506</v>
      </c>
      <c r="F506" s="9" t="s">
        <v>114</v>
      </c>
      <c r="M506" s="23" t="b">
        <v>1</v>
      </c>
    </row>
    <row r="507" spans="1:13">
      <c r="E507" s="4">
        <f t="shared" si="227"/>
        <v>507</v>
      </c>
      <c r="F507" s="9" t="s">
        <v>98</v>
      </c>
      <c r="K507" s="9" t="s">
        <v>137</v>
      </c>
      <c r="M507" s="23">
        <v>2</v>
      </c>
    </row>
    <row r="508" spans="1:13">
      <c r="E508" s="4">
        <f t="shared" si="227"/>
        <v>508</v>
      </c>
      <c r="F508" s="9" t="s">
        <v>30</v>
      </c>
      <c r="G508" s="9">
        <v>2.5</v>
      </c>
      <c r="I508" s="9">
        <v>0</v>
      </c>
      <c r="M508" s="23">
        <f t="shared" ref="M508" si="252">$G$16+$I$16*D499</f>
        <v>2.5</v>
      </c>
    </row>
    <row r="509" spans="1:13">
      <c r="E509" s="4">
        <f t="shared" si="227"/>
        <v>509</v>
      </c>
      <c r="F509" s="9" t="s">
        <v>31</v>
      </c>
      <c r="L509" s="9" t="s">
        <v>135</v>
      </c>
      <c r="M509" s="23" t="s">
        <v>231</v>
      </c>
    </row>
    <row r="510" spans="1:13">
      <c r="E510" s="4">
        <f t="shared" si="227"/>
        <v>510</v>
      </c>
      <c r="F510" s="9" t="s">
        <v>143</v>
      </c>
      <c r="G510" s="9">
        <v>30</v>
      </c>
      <c r="H510" s="9">
        <v>-30</v>
      </c>
      <c r="I510" s="9">
        <v>-10</v>
      </c>
      <c r="J510" s="9" t="s">
        <v>34</v>
      </c>
      <c r="L510" s="9" t="s">
        <v>134</v>
      </c>
      <c r="M510" s="23">
        <f t="shared" ref="M510" si="253">IF(MOD(QUOTIENT(D499-1,$G$8),2)=0,$G$18+$I$18*MOD(D499-1,$G$8),$H$18+$J$18*MOD(D499-1,$G$8))</f>
        <v>30</v>
      </c>
    </row>
    <row r="511" spans="1:13">
      <c r="A511" s="22" t="s">
        <v>227</v>
      </c>
      <c r="B511" s="22">
        <f t="shared" ref="B511" si="254">QUOTIENT( D511-1,G512)+1</f>
        <v>7</v>
      </c>
      <c r="C511" s="22">
        <f t="shared" ref="C511" si="255">D511-(B511-1)*G512</f>
        <v>1</v>
      </c>
      <c r="D511" s="22">
        <f>COUNT($D$6:$D510)+1</f>
        <v>43</v>
      </c>
      <c r="E511" s="4"/>
    </row>
    <row r="512" spans="1:13">
      <c r="E512" s="4">
        <f t="shared" si="227"/>
        <v>512</v>
      </c>
      <c r="F512" s="9" t="s">
        <v>93</v>
      </c>
      <c r="G512" s="9" t="s">
        <v>39</v>
      </c>
      <c r="H512" s="9" t="s">
        <v>39</v>
      </c>
      <c r="J512" s="9">
        <v>11100</v>
      </c>
      <c r="M512" s="23">
        <f t="shared" ref="M512" si="256">$J$8+D511</f>
        <v>11143</v>
      </c>
    </row>
    <row r="513" spans="1:13">
      <c r="E513" s="4">
        <f t="shared" si="227"/>
        <v>513</v>
      </c>
      <c r="F513" s="9" t="s">
        <v>144</v>
      </c>
      <c r="M513" s="23">
        <v>104020</v>
      </c>
    </row>
    <row r="514" spans="1:13">
      <c r="E514" s="4">
        <f t="shared" si="227"/>
        <v>514</v>
      </c>
      <c r="F514" s="9" t="s">
        <v>126</v>
      </c>
      <c r="G514" s="9">
        <v>-1</v>
      </c>
      <c r="H514" s="9">
        <v>10</v>
      </c>
      <c r="J514" s="9">
        <v>8</v>
      </c>
      <c r="M514" s="23">
        <f t="shared" ref="M514" si="257">H514*D511+$J$10+B511*G514</f>
        <v>431</v>
      </c>
    </row>
    <row r="515" spans="1:13">
      <c r="E515" s="4">
        <f t="shared" si="227"/>
        <v>515</v>
      </c>
      <c r="F515" s="9" t="s">
        <v>35</v>
      </c>
      <c r="M515" s="23">
        <v>1000</v>
      </c>
    </row>
    <row r="516" spans="1:13">
      <c r="E516" s="4">
        <f t="shared" si="227"/>
        <v>516</v>
      </c>
      <c r="F516" s="9" t="s">
        <v>29</v>
      </c>
      <c r="M516" s="23" t="s">
        <v>229</v>
      </c>
    </row>
    <row r="517" spans="1:13">
      <c r="E517" s="4">
        <f t="shared" si="227"/>
        <v>517</v>
      </c>
      <c r="F517" s="9" t="s">
        <v>118</v>
      </c>
      <c r="M517" s="23" t="s">
        <v>230</v>
      </c>
    </row>
    <row r="518" spans="1:13">
      <c r="E518" s="4">
        <f t="shared" si="227"/>
        <v>518</v>
      </c>
      <c r="F518" s="9" t="s">
        <v>114</v>
      </c>
      <c r="M518" s="23" t="b">
        <v>1</v>
      </c>
    </row>
    <row r="519" spans="1:13">
      <c r="E519" s="4">
        <f t="shared" si="227"/>
        <v>519</v>
      </c>
      <c r="F519" s="9" t="s">
        <v>98</v>
      </c>
      <c r="K519" s="9" t="s">
        <v>137</v>
      </c>
      <c r="M519" s="23">
        <v>2</v>
      </c>
    </row>
    <row r="520" spans="1:13">
      <c r="E520" s="4">
        <f t="shared" ref="E520:E582" si="258">ROW(E520)</f>
        <v>520</v>
      </c>
      <c r="F520" s="9" t="s">
        <v>30</v>
      </c>
      <c r="G520" s="9">
        <v>2.5</v>
      </c>
      <c r="I520" s="9">
        <v>0</v>
      </c>
      <c r="M520" s="23">
        <f t="shared" ref="M520" si="259">$G$16+$I$16*D511</f>
        <v>2.5</v>
      </c>
    </row>
    <row r="521" spans="1:13">
      <c r="E521" s="4">
        <f t="shared" si="258"/>
        <v>521</v>
      </c>
      <c r="F521" s="9" t="s">
        <v>31</v>
      </c>
      <c r="L521" s="9" t="s">
        <v>135</v>
      </c>
      <c r="M521" s="23" t="s">
        <v>231</v>
      </c>
    </row>
    <row r="522" spans="1:13">
      <c r="E522" s="4">
        <f t="shared" si="258"/>
        <v>522</v>
      </c>
      <c r="F522" s="9" t="s">
        <v>143</v>
      </c>
      <c r="G522" s="9">
        <v>30</v>
      </c>
      <c r="H522" s="9">
        <v>-30</v>
      </c>
      <c r="I522" s="9">
        <v>-10</v>
      </c>
      <c r="J522" s="9" t="s">
        <v>34</v>
      </c>
      <c r="L522" s="9" t="s">
        <v>134</v>
      </c>
      <c r="M522" s="23">
        <f t="shared" ref="M522" si="260">IF(MOD(QUOTIENT(D511-1,$G$8),2)=0,$G$18+$I$18*MOD(D511-1,$G$8),$H$18+$J$18*MOD(D511-1,$G$8))</f>
        <v>30</v>
      </c>
    </row>
    <row r="523" spans="1:13">
      <c r="A523" s="22" t="s">
        <v>227</v>
      </c>
      <c r="B523" s="22">
        <f t="shared" ref="B523" si="261">QUOTIENT( D523-1,G524)+1</f>
        <v>7</v>
      </c>
      <c r="C523" s="22">
        <f t="shared" ref="C523" si="262">D523-(B523-1)*G524</f>
        <v>2</v>
      </c>
      <c r="D523" s="22">
        <f>COUNT($D$6:$D522)+1</f>
        <v>44</v>
      </c>
      <c r="E523" s="4"/>
    </row>
    <row r="524" spans="1:13">
      <c r="E524" s="4">
        <f t="shared" si="258"/>
        <v>524</v>
      </c>
      <c r="F524" s="9" t="s">
        <v>93</v>
      </c>
      <c r="G524" s="9" t="s">
        <v>39</v>
      </c>
      <c r="H524" s="9" t="s">
        <v>39</v>
      </c>
      <c r="J524" s="9">
        <v>11100</v>
      </c>
      <c r="M524" s="23">
        <f t="shared" ref="M524" si="263">$J$8+D523</f>
        <v>11144</v>
      </c>
    </row>
    <row r="525" spans="1:13">
      <c r="E525" s="4">
        <f t="shared" si="258"/>
        <v>525</v>
      </c>
      <c r="F525" s="9" t="s">
        <v>144</v>
      </c>
      <c r="M525" s="23">
        <v>104020</v>
      </c>
    </row>
    <row r="526" spans="1:13">
      <c r="E526" s="4">
        <f t="shared" si="258"/>
        <v>526</v>
      </c>
      <c r="F526" s="9" t="s">
        <v>126</v>
      </c>
      <c r="G526" s="9">
        <v>-1</v>
      </c>
      <c r="H526" s="9">
        <v>10</v>
      </c>
      <c r="J526" s="9">
        <v>8</v>
      </c>
      <c r="M526" s="23">
        <f t="shared" ref="M526" si="264">H526*D523+$J$10+B523*G526</f>
        <v>441</v>
      </c>
    </row>
    <row r="527" spans="1:13">
      <c r="E527" s="4">
        <f t="shared" si="258"/>
        <v>527</v>
      </c>
      <c r="F527" s="9" t="s">
        <v>35</v>
      </c>
      <c r="M527" s="23">
        <v>1000</v>
      </c>
    </row>
    <row r="528" spans="1:13">
      <c r="E528" s="4">
        <f t="shared" si="258"/>
        <v>528</v>
      </c>
      <c r="F528" s="9" t="s">
        <v>29</v>
      </c>
      <c r="M528" s="23" t="s">
        <v>229</v>
      </c>
    </row>
    <row r="529" spans="1:13">
      <c r="E529" s="4">
        <f t="shared" si="258"/>
        <v>529</v>
      </c>
      <c r="F529" s="9" t="s">
        <v>118</v>
      </c>
      <c r="M529" s="23" t="s">
        <v>230</v>
      </c>
    </row>
    <row r="530" spans="1:13">
      <c r="E530" s="4">
        <f t="shared" si="258"/>
        <v>530</v>
      </c>
      <c r="F530" s="9" t="s">
        <v>114</v>
      </c>
      <c r="M530" s="23" t="b">
        <v>1</v>
      </c>
    </row>
    <row r="531" spans="1:13">
      <c r="E531" s="4">
        <f t="shared" si="258"/>
        <v>531</v>
      </c>
      <c r="F531" s="9" t="s">
        <v>98</v>
      </c>
      <c r="K531" s="9" t="s">
        <v>137</v>
      </c>
      <c r="M531" s="23">
        <v>2</v>
      </c>
    </row>
    <row r="532" spans="1:13">
      <c r="E532" s="4">
        <f t="shared" si="258"/>
        <v>532</v>
      </c>
      <c r="F532" s="9" t="s">
        <v>30</v>
      </c>
      <c r="G532" s="9">
        <v>2.5</v>
      </c>
      <c r="I532" s="9">
        <v>0</v>
      </c>
      <c r="M532" s="23">
        <f t="shared" ref="M532" si="265">$G$16+$I$16*D523</f>
        <v>2.5</v>
      </c>
    </row>
    <row r="533" spans="1:13">
      <c r="E533" s="4">
        <f t="shared" si="258"/>
        <v>533</v>
      </c>
      <c r="F533" s="9" t="s">
        <v>31</v>
      </c>
      <c r="L533" s="9" t="s">
        <v>135</v>
      </c>
      <c r="M533" s="23" t="s">
        <v>231</v>
      </c>
    </row>
    <row r="534" spans="1:13">
      <c r="E534" s="4">
        <f t="shared" si="258"/>
        <v>534</v>
      </c>
      <c r="F534" s="9" t="s">
        <v>143</v>
      </c>
      <c r="G534" s="9">
        <v>30</v>
      </c>
      <c r="H534" s="9">
        <v>-30</v>
      </c>
      <c r="I534" s="9">
        <v>-10</v>
      </c>
      <c r="J534" s="9" t="s">
        <v>34</v>
      </c>
      <c r="L534" s="9" t="s">
        <v>134</v>
      </c>
      <c r="M534" s="23">
        <f t="shared" ref="M534" si="266">IF(MOD(QUOTIENT(D523-1,$G$8),2)=0,$G$18+$I$18*MOD(D523-1,$G$8),$H$18+$J$18*MOD(D523-1,$G$8))</f>
        <v>20</v>
      </c>
    </row>
    <row r="535" spans="1:13">
      <c r="A535" s="22" t="s">
        <v>227</v>
      </c>
      <c r="B535" s="22">
        <f t="shared" ref="B535" si="267">QUOTIENT( D535-1,G536)+1</f>
        <v>7</v>
      </c>
      <c r="C535" s="22">
        <f t="shared" ref="C535" si="268">D535-(B535-1)*G536</f>
        <v>3</v>
      </c>
      <c r="D535" s="22">
        <f>COUNT($D$6:$D534)+1</f>
        <v>45</v>
      </c>
      <c r="E535" s="4"/>
    </row>
    <row r="536" spans="1:13">
      <c r="E536" s="4">
        <f t="shared" si="258"/>
        <v>536</v>
      </c>
      <c r="F536" s="9" t="s">
        <v>93</v>
      </c>
      <c r="G536" s="9" t="s">
        <v>39</v>
      </c>
      <c r="H536" s="9" t="s">
        <v>39</v>
      </c>
      <c r="J536" s="9">
        <v>11100</v>
      </c>
      <c r="M536" s="23">
        <f t="shared" ref="M536" si="269">$J$8+D535</f>
        <v>11145</v>
      </c>
    </row>
    <row r="537" spans="1:13">
      <c r="E537" s="4">
        <f t="shared" si="258"/>
        <v>537</v>
      </c>
      <c r="F537" s="9" t="s">
        <v>144</v>
      </c>
      <c r="M537" s="23">
        <v>104020</v>
      </c>
    </row>
    <row r="538" spans="1:13">
      <c r="E538" s="4">
        <f t="shared" si="258"/>
        <v>538</v>
      </c>
      <c r="F538" s="9" t="s">
        <v>126</v>
      </c>
      <c r="G538" s="9">
        <v>-1</v>
      </c>
      <c r="H538" s="9">
        <v>10</v>
      </c>
      <c r="J538" s="9">
        <v>8</v>
      </c>
      <c r="M538" s="23">
        <f t="shared" ref="M538" si="270">H538*D535+$J$10+B535*G538</f>
        <v>451</v>
      </c>
    </row>
    <row r="539" spans="1:13">
      <c r="E539" s="4">
        <f t="shared" si="258"/>
        <v>539</v>
      </c>
      <c r="F539" s="9" t="s">
        <v>35</v>
      </c>
      <c r="M539" s="23">
        <v>1000</v>
      </c>
    </row>
    <row r="540" spans="1:13">
      <c r="E540" s="4">
        <f t="shared" si="258"/>
        <v>540</v>
      </c>
      <c r="F540" s="9" t="s">
        <v>29</v>
      </c>
      <c r="M540" s="23" t="s">
        <v>229</v>
      </c>
    </row>
    <row r="541" spans="1:13">
      <c r="E541" s="4">
        <f t="shared" si="258"/>
        <v>541</v>
      </c>
      <c r="F541" s="9" t="s">
        <v>118</v>
      </c>
      <c r="M541" s="23" t="s">
        <v>230</v>
      </c>
    </row>
    <row r="542" spans="1:13">
      <c r="E542" s="4">
        <f t="shared" si="258"/>
        <v>542</v>
      </c>
      <c r="F542" s="9" t="s">
        <v>114</v>
      </c>
      <c r="M542" s="23" t="b">
        <v>1</v>
      </c>
    </row>
    <row r="543" spans="1:13">
      <c r="E543" s="4">
        <f t="shared" si="258"/>
        <v>543</v>
      </c>
      <c r="F543" s="9" t="s">
        <v>98</v>
      </c>
      <c r="K543" s="9" t="s">
        <v>137</v>
      </c>
      <c r="M543" s="23">
        <v>2</v>
      </c>
    </row>
    <row r="544" spans="1:13">
      <c r="E544" s="4">
        <f t="shared" si="258"/>
        <v>544</v>
      </c>
      <c r="F544" s="9" t="s">
        <v>30</v>
      </c>
      <c r="G544" s="9">
        <v>2.5</v>
      </c>
      <c r="I544" s="9">
        <v>0</v>
      </c>
      <c r="M544" s="23">
        <f t="shared" ref="M544" si="271">$G$16+$I$16*D535</f>
        <v>2.5</v>
      </c>
    </row>
    <row r="545" spans="1:13">
      <c r="E545" s="4">
        <f t="shared" si="258"/>
        <v>545</v>
      </c>
      <c r="F545" s="9" t="s">
        <v>31</v>
      </c>
      <c r="L545" s="9" t="s">
        <v>135</v>
      </c>
      <c r="M545" s="23" t="s">
        <v>231</v>
      </c>
    </row>
    <row r="546" spans="1:13">
      <c r="E546" s="4">
        <f t="shared" si="258"/>
        <v>546</v>
      </c>
      <c r="F546" s="9" t="s">
        <v>143</v>
      </c>
      <c r="G546" s="9">
        <v>30</v>
      </c>
      <c r="H546" s="9">
        <v>-30</v>
      </c>
      <c r="I546" s="9">
        <v>-10</v>
      </c>
      <c r="J546" s="9" t="s">
        <v>34</v>
      </c>
      <c r="L546" s="9" t="s">
        <v>134</v>
      </c>
      <c r="M546" s="23">
        <f t="shared" ref="M546" si="272">IF(MOD(QUOTIENT(D535-1,$G$8),2)=0,$G$18+$I$18*MOD(D535-1,$G$8),$H$18+$J$18*MOD(D535-1,$G$8))</f>
        <v>10</v>
      </c>
    </row>
    <row r="547" spans="1:13">
      <c r="A547" s="22" t="s">
        <v>227</v>
      </c>
      <c r="B547" s="22">
        <f t="shared" ref="B547" si="273">QUOTIENT( D547-1,G548)+1</f>
        <v>7</v>
      </c>
      <c r="C547" s="22">
        <f t="shared" ref="C547" si="274">D547-(B547-1)*G548</f>
        <v>4</v>
      </c>
      <c r="D547" s="22">
        <f>COUNT($D$6:$D546)+1</f>
        <v>46</v>
      </c>
      <c r="E547" s="4"/>
    </row>
    <row r="548" spans="1:13">
      <c r="E548" s="4">
        <f t="shared" si="258"/>
        <v>548</v>
      </c>
      <c r="F548" s="9" t="s">
        <v>93</v>
      </c>
      <c r="G548" s="9" t="s">
        <v>39</v>
      </c>
      <c r="H548" s="9" t="s">
        <v>39</v>
      </c>
      <c r="J548" s="9">
        <v>11100</v>
      </c>
      <c r="M548" s="23">
        <f t="shared" ref="M548" si="275">$J$8+D547</f>
        <v>11146</v>
      </c>
    </row>
    <row r="549" spans="1:13">
      <c r="E549" s="4">
        <f t="shared" si="258"/>
        <v>549</v>
      </c>
      <c r="F549" s="9" t="s">
        <v>144</v>
      </c>
      <c r="M549" s="23">
        <v>104020</v>
      </c>
    </row>
    <row r="550" spans="1:13">
      <c r="E550" s="4">
        <f t="shared" si="258"/>
        <v>550</v>
      </c>
      <c r="F550" s="9" t="s">
        <v>126</v>
      </c>
      <c r="G550" s="9">
        <v>-1</v>
      </c>
      <c r="H550" s="9">
        <v>10</v>
      </c>
      <c r="J550" s="9">
        <v>8</v>
      </c>
      <c r="M550" s="23">
        <f t="shared" ref="M550" si="276">H550*D547+$J$10+B547*G550</f>
        <v>461</v>
      </c>
    </row>
    <row r="551" spans="1:13">
      <c r="E551" s="4">
        <f t="shared" si="258"/>
        <v>551</v>
      </c>
      <c r="F551" s="9" t="s">
        <v>35</v>
      </c>
      <c r="M551" s="23">
        <v>1000</v>
      </c>
    </row>
    <row r="552" spans="1:13">
      <c r="E552" s="4">
        <f t="shared" si="258"/>
        <v>552</v>
      </c>
      <c r="F552" s="9" t="s">
        <v>29</v>
      </c>
      <c r="M552" s="23" t="s">
        <v>229</v>
      </c>
    </row>
    <row r="553" spans="1:13">
      <c r="E553" s="4">
        <f t="shared" si="258"/>
        <v>553</v>
      </c>
      <c r="F553" s="9" t="s">
        <v>118</v>
      </c>
      <c r="M553" s="23" t="s">
        <v>230</v>
      </c>
    </row>
    <row r="554" spans="1:13">
      <c r="E554" s="4">
        <f t="shared" si="258"/>
        <v>554</v>
      </c>
      <c r="F554" s="9" t="s">
        <v>114</v>
      </c>
      <c r="M554" s="23" t="b">
        <v>1</v>
      </c>
    </row>
    <row r="555" spans="1:13">
      <c r="E555" s="4">
        <f t="shared" si="258"/>
        <v>555</v>
      </c>
      <c r="F555" s="9" t="s">
        <v>98</v>
      </c>
      <c r="K555" s="9" t="s">
        <v>137</v>
      </c>
      <c r="M555" s="23">
        <v>2</v>
      </c>
    </row>
    <row r="556" spans="1:13">
      <c r="E556" s="4">
        <f t="shared" si="258"/>
        <v>556</v>
      </c>
      <c r="F556" s="9" t="s">
        <v>30</v>
      </c>
      <c r="G556" s="9">
        <v>2.5</v>
      </c>
      <c r="I556" s="9">
        <v>0</v>
      </c>
      <c r="M556" s="23">
        <f t="shared" ref="M556" si="277">$G$16+$I$16*D547</f>
        <v>2.5</v>
      </c>
    </row>
    <row r="557" spans="1:13">
      <c r="E557" s="4">
        <f t="shared" si="258"/>
        <v>557</v>
      </c>
      <c r="F557" s="9" t="s">
        <v>31</v>
      </c>
      <c r="L557" s="9" t="s">
        <v>135</v>
      </c>
      <c r="M557" s="23" t="s">
        <v>231</v>
      </c>
    </row>
    <row r="558" spans="1:13">
      <c r="E558" s="4">
        <f t="shared" si="258"/>
        <v>558</v>
      </c>
      <c r="F558" s="9" t="s">
        <v>143</v>
      </c>
      <c r="G558" s="9">
        <v>30</v>
      </c>
      <c r="H558" s="9">
        <v>-30</v>
      </c>
      <c r="I558" s="9">
        <v>-10</v>
      </c>
      <c r="J558" s="9" t="s">
        <v>34</v>
      </c>
      <c r="L558" s="9" t="s">
        <v>134</v>
      </c>
      <c r="M558" s="23">
        <f t="shared" ref="M558" si="278">IF(MOD(QUOTIENT(D547-1,$G$8),2)=0,$G$18+$I$18*MOD(D547-1,$G$8),$H$18+$J$18*MOD(D547-1,$G$8))</f>
        <v>0</v>
      </c>
    </row>
    <row r="559" spans="1:13">
      <c r="A559" s="22" t="s">
        <v>227</v>
      </c>
      <c r="B559" s="22">
        <f t="shared" ref="B559" si="279">QUOTIENT( D559-1,G560)+1</f>
        <v>7</v>
      </c>
      <c r="C559" s="22">
        <f t="shared" ref="C559" si="280">D559-(B559-1)*G560</f>
        <v>5</v>
      </c>
      <c r="D559" s="22">
        <f>COUNT($D$6:$D558)+1</f>
        <v>47</v>
      </c>
      <c r="E559" s="4"/>
    </row>
    <row r="560" spans="1:13">
      <c r="E560" s="4">
        <f t="shared" si="258"/>
        <v>560</v>
      </c>
      <c r="F560" s="9" t="s">
        <v>93</v>
      </c>
      <c r="G560" s="9" t="s">
        <v>39</v>
      </c>
      <c r="H560" s="9" t="s">
        <v>39</v>
      </c>
      <c r="J560" s="9">
        <v>11100</v>
      </c>
      <c r="M560" s="23">
        <f t="shared" ref="M560" si="281">$J$8+D559</f>
        <v>11147</v>
      </c>
    </row>
    <row r="561" spans="1:13">
      <c r="E561" s="4">
        <f t="shared" si="258"/>
        <v>561</v>
      </c>
      <c r="F561" s="9" t="s">
        <v>144</v>
      </c>
      <c r="M561" s="23">
        <v>104020</v>
      </c>
    </row>
    <row r="562" spans="1:13">
      <c r="E562" s="4">
        <f t="shared" si="258"/>
        <v>562</v>
      </c>
      <c r="F562" s="9" t="s">
        <v>126</v>
      </c>
      <c r="G562" s="9">
        <v>-1</v>
      </c>
      <c r="H562" s="9">
        <v>10</v>
      </c>
      <c r="J562" s="9">
        <v>8</v>
      </c>
      <c r="M562" s="23">
        <f t="shared" ref="M562" si="282">H562*D559+$J$10+B559*G562</f>
        <v>471</v>
      </c>
    </row>
    <row r="563" spans="1:13">
      <c r="E563" s="4">
        <f t="shared" si="258"/>
        <v>563</v>
      </c>
      <c r="F563" s="9" t="s">
        <v>35</v>
      </c>
      <c r="M563" s="23">
        <v>1000</v>
      </c>
    </row>
    <row r="564" spans="1:13">
      <c r="E564" s="4">
        <f t="shared" si="258"/>
        <v>564</v>
      </c>
      <c r="F564" s="9" t="s">
        <v>29</v>
      </c>
      <c r="M564" s="23" t="s">
        <v>229</v>
      </c>
    </row>
    <row r="565" spans="1:13">
      <c r="E565" s="4">
        <f t="shared" si="258"/>
        <v>565</v>
      </c>
      <c r="F565" s="9" t="s">
        <v>118</v>
      </c>
      <c r="M565" s="23" t="s">
        <v>230</v>
      </c>
    </row>
    <row r="566" spans="1:13">
      <c r="E566" s="4">
        <f t="shared" si="258"/>
        <v>566</v>
      </c>
      <c r="F566" s="9" t="s">
        <v>114</v>
      </c>
      <c r="M566" s="23" t="b">
        <v>1</v>
      </c>
    </row>
    <row r="567" spans="1:13">
      <c r="E567" s="4">
        <f t="shared" si="258"/>
        <v>567</v>
      </c>
      <c r="F567" s="9" t="s">
        <v>98</v>
      </c>
      <c r="K567" s="9" t="s">
        <v>137</v>
      </c>
      <c r="M567" s="23">
        <v>2</v>
      </c>
    </row>
    <row r="568" spans="1:13">
      <c r="E568" s="4">
        <f t="shared" si="258"/>
        <v>568</v>
      </c>
      <c r="F568" s="9" t="s">
        <v>30</v>
      </c>
      <c r="G568" s="9">
        <v>2.5</v>
      </c>
      <c r="I568" s="9">
        <v>0</v>
      </c>
      <c r="M568" s="23">
        <f t="shared" ref="M568" si="283">$G$16+$I$16*D559</f>
        <v>2.5</v>
      </c>
    </row>
    <row r="569" spans="1:13">
      <c r="E569" s="4">
        <f t="shared" si="258"/>
        <v>569</v>
      </c>
      <c r="F569" s="9" t="s">
        <v>31</v>
      </c>
      <c r="L569" s="9" t="s">
        <v>135</v>
      </c>
      <c r="M569" s="23" t="s">
        <v>231</v>
      </c>
    </row>
    <row r="570" spans="1:13">
      <c r="E570" s="4">
        <f t="shared" si="258"/>
        <v>570</v>
      </c>
      <c r="F570" s="9" t="s">
        <v>143</v>
      </c>
      <c r="G570" s="9">
        <v>30</v>
      </c>
      <c r="H570" s="9">
        <v>-30</v>
      </c>
      <c r="I570" s="9">
        <v>-10</v>
      </c>
      <c r="J570" s="9" t="s">
        <v>34</v>
      </c>
      <c r="L570" s="9" t="s">
        <v>134</v>
      </c>
      <c r="M570" s="23">
        <f t="shared" ref="M570" si="284">IF(MOD(QUOTIENT(D559-1,$G$8),2)=0,$G$18+$I$18*MOD(D559-1,$G$8),$H$18+$J$18*MOD(D559-1,$G$8))</f>
        <v>-10</v>
      </c>
    </row>
    <row r="571" spans="1:13">
      <c r="A571" s="22" t="s">
        <v>227</v>
      </c>
      <c r="B571" s="22">
        <f t="shared" ref="B571" si="285">QUOTIENT( D571-1,G572)+1</f>
        <v>7</v>
      </c>
      <c r="C571" s="22">
        <f t="shared" ref="C571" si="286">D571-(B571-1)*G572</f>
        <v>6</v>
      </c>
      <c r="D571" s="22">
        <f>COUNT($D$6:$D570)+1</f>
        <v>48</v>
      </c>
      <c r="E571" s="4"/>
    </row>
    <row r="572" spans="1:13">
      <c r="E572" s="4">
        <f t="shared" si="258"/>
        <v>572</v>
      </c>
      <c r="F572" s="9" t="s">
        <v>93</v>
      </c>
      <c r="G572" s="9" t="s">
        <v>39</v>
      </c>
      <c r="H572" s="9" t="s">
        <v>39</v>
      </c>
      <c r="J572" s="9">
        <v>11100</v>
      </c>
      <c r="M572" s="23">
        <f t="shared" ref="M572" si="287">$J$8+D571</f>
        <v>11148</v>
      </c>
    </row>
    <row r="573" spans="1:13">
      <c r="E573" s="4">
        <f t="shared" si="258"/>
        <v>573</v>
      </c>
      <c r="F573" s="9" t="s">
        <v>144</v>
      </c>
      <c r="M573" s="23">
        <v>104020</v>
      </c>
    </row>
    <row r="574" spans="1:13">
      <c r="E574" s="4">
        <f t="shared" si="258"/>
        <v>574</v>
      </c>
      <c r="F574" s="9" t="s">
        <v>126</v>
      </c>
      <c r="G574" s="9">
        <v>-1</v>
      </c>
      <c r="H574" s="9">
        <v>10</v>
      </c>
      <c r="J574" s="9">
        <v>8</v>
      </c>
      <c r="M574" s="23">
        <f t="shared" ref="M574" si="288">H574*D571+$J$10+B571*G574</f>
        <v>481</v>
      </c>
    </row>
    <row r="575" spans="1:13">
      <c r="E575" s="4">
        <f t="shared" si="258"/>
        <v>575</v>
      </c>
      <c r="F575" s="9" t="s">
        <v>35</v>
      </c>
      <c r="M575" s="23">
        <v>1000</v>
      </c>
    </row>
    <row r="576" spans="1:13">
      <c r="E576" s="4">
        <f t="shared" si="258"/>
        <v>576</v>
      </c>
      <c r="F576" s="9" t="s">
        <v>29</v>
      </c>
      <c r="M576" s="23" t="s">
        <v>229</v>
      </c>
    </row>
    <row r="577" spans="1:13">
      <c r="E577" s="4">
        <f t="shared" si="258"/>
        <v>577</v>
      </c>
      <c r="F577" s="9" t="s">
        <v>118</v>
      </c>
      <c r="M577" s="23" t="s">
        <v>230</v>
      </c>
    </row>
    <row r="578" spans="1:13">
      <c r="E578" s="4">
        <f t="shared" si="258"/>
        <v>578</v>
      </c>
      <c r="F578" s="9" t="s">
        <v>114</v>
      </c>
      <c r="M578" s="23" t="b">
        <v>1</v>
      </c>
    </row>
    <row r="579" spans="1:13">
      <c r="E579" s="4">
        <f t="shared" si="258"/>
        <v>579</v>
      </c>
      <c r="F579" s="9" t="s">
        <v>98</v>
      </c>
      <c r="K579" s="9" t="s">
        <v>137</v>
      </c>
      <c r="M579" s="23">
        <v>2</v>
      </c>
    </row>
    <row r="580" spans="1:13">
      <c r="E580" s="4">
        <f t="shared" si="258"/>
        <v>580</v>
      </c>
      <c r="F580" s="9" t="s">
        <v>30</v>
      </c>
      <c r="G580" s="9">
        <v>2.5</v>
      </c>
      <c r="I580" s="9">
        <v>0</v>
      </c>
      <c r="M580" s="23">
        <f t="shared" ref="M580" si="289">$G$16+$I$16*D571</f>
        <v>2.5</v>
      </c>
    </row>
    <row r="581" spans="1:13">
      <c r="E581" s="4">
        <f t="shared" si="258"/>
        <v>581</v>
      </c>
      <c r="F581" s="9" t="s">
        <v>31</v>
      </c>
      <c r="L581" s="9" t="s">
        <v>135</v>
      </c>
      <c r="M581" s="23" t="s">
        <v>231</v>
      </c>
    </row>
    <row r="582" spans="1:13">
      <c r="E582" s="4">
        <f t="shared" si="258"/>
        <v>582</v>
      </c>
      <c r="F582" s="9" t="s">
        <v>143</v>
      </c>
      <c r="G582" s="9">
        <v>30</v>
      </c>
      <c r="H582" s="9">
        <v>-30</v>
      </c>
      <c r="I582" s="9">
        <v>-10</v>
      </c>
      <c r="J582" s="9" t="s">
        <v>34</v>
      </c>
      <c r="L582" s="9" t="s">
        <v>134</v>
      </c>
      <c r="M582" s="23">
        <f t="shared" ref="M582" si="290">IF(MOD(QUOTIENT(D571-1,$G$8),2)=0,$G$18+$I$18*MOD(D571-1,$G$8),$H$18+$J$18*MOD(D571-1,$G$8))</f>
        <v>-20</v>
      </c>
    </row>
    <row r="583" spans="1:13">
      <c r="A583" s="22" t="s">
        <v>227</v>
      </c>
      <c r="B583" s="22">
        <f t="shared" ref="B583" si="291">QUOTIENT( D583-1,G584)+1</f>
        <v>7</v>
      </c>
      <c r="C583" s="22">
        <f t="shared" ref="C583" si="292">D583-(B583-1)*G584</f>
        <v>7</v>
      </c>
      <c r="D583" s="22">
        <f>COUNT($D$6:$D582)+1</f>
        <v>49</v>
      </c>
      <c r="E583" s="4"/>
    </row>
    <row r="584" spans="1:13">
      <c r="E584" s="4">
        <f t="shared" ref="E584:E594" si="293">ROW(E584)</f>
        <v>584</v>
      </c>
      <c r="F584" s="9" t="s">
        <v>93</v>
      </c>
      <c r="G584" s="9" t="s">
        <v>39</v>
      </c>
      <c r="H584" s="9" t="s">
        <v>39</v>
      </c>
      <c r="J584" s="9">
        <v>11100</v>
      </c>
      <c r="M584" s="23">
        <f t="shared" ref="M584" si="294">$J$8+D583</f>
        <v>11149</v>
      </c>
    </row>
    <row r="585" spans="1:13">
      <c r="E585" s="4">
        <f t="shared" si="293"/>
        <v>585</v>
      </c>
      <c r="F585" s="9" t="s">
        <v>144</v>
      </c>
      <c r="M585" s="23">
        <v>104020</v>
      </c>
    </row>
    <row r="586" spans="1:13">
      <c r="E586" s="4">
        <f t="shared" si="293"/>
        <v>586</v>
      </c>
      <c r="F586" s="9" t="s">
        <v>126</v>
      </c>
      <c r="G586" s="9">
        <v>-1</v>
      </c>
      <c r="H586" s="9">
        <v>10</v>
      </c>
      <c r="J586" s="9">
        <v>8</v>
      </c>
      <c r="M586" s="23">
        <f t="shared" ref="M586" si="295">H586*D583+$J$10+B583*G586</f>
        <v>491</v>
      </c>
    </row>
    <row r="587" spans="1:13">
      <c r="E587" s="4">
        <f t="shared" si="293"/>
        <v>587</v>
      </c>
      <c r="F587" s="9" t="s">
        <v>35</v>
      </c>
      <c r="M587" s="23">
        <v>1000</v>
      </c>
    </row>
    <row r="588" spans="1:13">
      <c r="E588" s="4">
        <f t="shared" si="293"/>
        <v>588</v>
      </c>
      <c r="F588" s="9" t="s">
        <v>29</v>
      </c>
      <c r="M588" s="23" t="s">
        <v>229</v>
      </c>
    </row>
    <row r="589" spans="1:13">
      <c r="E589" s="4">
        <f t="shared" si="293"/>
        <v>589</v>
      </c>
      <c r="F589" s="9" t="s">
        <v>118</v>
      </c>
      <c r="M589" s="23" t="s">
        <v>230</v>
      </c>
    </row>
    <row r="590" spans="1:13">
      <c r="E590" s="4">
        <f t="shared" si="293"/>
        <v>590</v>
      </c>
      <c r="F590" s="9" t="s">
        <v>114</v>
      </c>
      <c r="M590" s="23" t="b">
        <v>1</v>
      </c>
    </row>
    <row r="591" spans="1:13">
      <c r="E591" s="4">
        <f t="shared" si="293"/>
        <v>591</v>
      </c>
      <c r="F591" s="9" t="s">
        <v>98</v>
      </c>
      <c r="K591" s="9" t="s">
        <v>137</v>
      </c>
      <c r="M591" s="23">
        <v>2</v>
      </c>
    </row>
    <row r="592" spans="1:13">
      <c r="E592" s="4">
        <f t="shared" si="293"/>
        <v>592</v>
      </c>
      <c r="F592" s="9" t="s">
        <v>30</v>
      </c>
      <c r="G592" s="9">
        <v>2.5</v>
      </c>
      <c r="I592" s="9">
        <v>0</v>
      </c>
      <c r="M592" s="23">
        <f t="shared" ref="M592" si="296">$G$16+$I$16*D583</f>
        <v>2.5</v>
      </c>
    </row>
    <row r="593" spans="5:13">
      <c r="E593" s="4">
        <f t="shared" si="293"/>
        <v>593</v>
      </c>
      <c r="F593" s="9" t="s">
        <v>31</v>
      </c>
      <c r="L593" s="9" t="s">
        <v>135</v>
      </c>
      <c r="M593" s="23" t="s">
        <v>231</v>
      </c>
    </row>
    <row r="594" spans="5:13">
      <c r="E594" s="4">
        <f t="shared" si="293"/>
        <v>594</v>
      </c>
      <c r="F594" s="9" t="s">
        <v>143</v>
      </c>
      <c r="G594" s="9">
        <v>30</v>
      </c>
      <c r="H594" s="9">
        <v>-30</v>
      </c>
      <c r="I594" s="9">
        <v>-10</v>
      </c>
      <c r="J594" s="9" t="s">
        <v>34</v>
      </c>
      <c r="L594" s="9" t="s">
        <v>134</v>
      </c>
      <c r="M594" s="23">
        <f t="shared" ref="M594" si="297">IF(MOD(QUOTIENT(D583-1,$G$8),2)=0,$G$18+$I$18*MOD(D583-1,$G$8),$H$18+$J$18*MOD(D583-1,$G$8))</f>
        <v>-30</v>
      </c>
    </row>
    <row r="595" spans="5:13">
      <c r="E595" s="4"/>
    </row>
    <row r="596" spans="5:13">
      <c r="E596" s="4"/>
    </row>
    <row r="597" spans="5:13">
      <c r="E597" s="4"/>
    </row>
    <row r="598" spans="5:13">
      <c r="E598" s="4"/>
    </row>
    <row r="599" spans="5:13">
      <c r="E599" s="4"/>
    </row>
    <row r="600" spans="5:13">
      <c r="E600" s="4"/>
    </row>
    <row r="601" spans="5:13">
      <c r="E601" s="4"/>
    </row>
    <row r="602" spans="5:13">
      <c r="E602" s="4"/>
    </row>
    <row r="603" spans="5:13">
      <c r="E603" s="4"/>
    </row>
    <row r="604" spans="5:13">
      <c r="E604" s="4"/>
    </row>
    <row r="605" spans="5:13">
      <c r="E605" s="4"/>
    </row>
    <row r="606" spans="5:13">
      <c r="E606" s="4"/>
    </row>
    <row r="607" spans="5:13">
      <c r="E607" s="4"/>
    </row>
    <row r="608" spans="5:13">
      <c r="E608" s="4"/>
    </row>
    <row r="609" spans="5:5">
      <c r="E609" s="4"/>
    </row>
    <row r="610" spans="5:5">
      <c r="E610" s="4"/>
    </row>
    <row r="611" spans="5:5">
      <c r="E611" s="4"/>
    </row>
    <row r="612" spans="5:5">
      <c r="E612" s="4"/>
    </row>
    <row r="613" spans="5:5">
      <c r="E613" s="4"/>
    </row>
    <row r="614" spans="5:5">
      <c r="E614" s="4"/>
    </row>
    <row r="615" spans="5:5">
      <c r="E615" s="4"/>
    </row>
    <row r="616" spans="5:5">
      <c r="E616" s="4"/>
    </row>
    <row r="617" spans="5:5">
      <c r="E617" s="4"/>
    </row>
    <row r="618" spans="5:5">
      <c r="E618" s="4"/>
    </row>
    <row r="619" spans="5:5">
      <c r="E619" s="4"/>
    </row>
    <row r="620" spans="5:5">
      <c r="E620" s="4"/>
    </row>
    <row r="621" spans="5:5">
      <c r="E621" s="4"/>
    </row>
    <row r="622" spans="5:5">
      <c r="E622" s="4"/>
    </row>
    <row r="623" spans="5:5">
      <c r="E623" s="4"/>
    </row>
    <row r="624" spans="5:5">
      <c r="E624" s="4"/>
    </row>
    <row r="625" spans="5:5">
      <c r="E625" s="4"/>
    </row>
    <row r="626" spans="5:5">
      <c r="E626" s="4"/>
    </row>
    <row r="627" spans="5:5">
      <c r="E627" s="4"/>
    </row>
    <row r="628" spans="5:5">
      <c r="E628" s="4"/>
    </row>
    <row r="629" spans="5:5">
      <c r="E629" s="4"/>
    </row>
  </sheetData>
  <phoneticPr fontId="2" type="noConversion"/>
  <conditionalFormatting sqref="N1:BD1">
    <cfRule type="duplicateValues" dxfId="58" priority="589"/>
  </conditionalFormatting>
  <conditionalFormatting sqref="BE1:XFD1 E1:H1 K1:L1">
    <cfRule type="duplicateValues" dxfId="57" priority="669"/>
  </conditionalFormatting>
  <conditionalFormatting sqref="F7:F10 F12:F18 I10 F20:F23 F33:F36 F46:F49 F59:F62 F72:F75 F25:F31 F38:F44 F51:F57 F64:F70 F77:F83 F85:F88 F163:F166 F241:F244 F319:F322 F397:F400 F475:F478 F553:F556 F90:F96 F168:F174 F246:F252 F324:F330 F402:F408 F480:F486 F558:F564 F98:F101 F176:F179 F254:F257 F332:F335 F410:F413 F488:F491 F566:F569 F111:F114 F189:F192 F267:F270 F345:F348 F423:F426 F501:F504 F579:F582 F124:F127 F202:F205 F280:F283 F358:F361 F436:F439 F514:F517 F592:F595 F137:F140 F215:F218 F293:F296 F371:F374 F449:F452 F527:F530 F605:F608 F150:F153 F228:F231 F306:F309 F384:F387 F462:F465 F540:F543 F618:F621 F103:F109 F181:F187 F259:F265 F337:F343 F415:F421 F493:F499 F571:F577 F116:F122 F194:F200 F272:F278 F350:F356 F428:F434 F506:F512 F584:F590 F129:F135 F207:F213 F285:F291 F363:F369 F441:F447 F519:F525 F597:F603 F142:F148 F220:F226 F298:F304 F376:F382 F454:F460 F532:F538 F610:F616 F155:F161 F233:F239 F311:F317 F389:F395 F467:F473 F545:F551 F623:F629 H16 F1:F5">
    <cfRule type="cellIs" dxfId="56" priority="162" operator="equal">
      <formula>"行動ID"</formula>
    </cfRule>
    <cfRule type="cellIs" dxfId="55" priority="170" operator="equal">
      <formula>"ID"</formula>
    </cfRule>
    <cfRule type="cellIs" dxfId="54" priority="585" operator="equal">
      <formula>"行動序號"</formula>
    </cfRule>
  </conditionalFormatting>
  <conditionalFormatting sqref="I1:J1">
    <cfRule type="duplicateValues" dxfId="53" priority="168"/>
  </conditionalFormatting>
  <conditionalFormatting sqref="J18">
    <cfRule type="expression" dxfId="52" priority="892">
      <formula>#REF!="行動序號"</formula>
    </cfRule>
  </conditionalFormatting>
  <conditionalFormatting sqref="J18">
    <cfRule type="expression" dxfId="51" priority="897">
      <formula>OR(#REF!="行動序號",#REF!="ID")</formula>
    </cfRule>
  </conditionalFormatting>
  <conditionalFormatting sqref="I10 H16 F2:F5">
    <cfRule type="cellIs" dxfId="50" priority="32" operator="equal">
      <formula>"行動ID"</formula>
    </cfRule>
  </conditionalFormatting>
  <conditionalFormatting sqref="F1 F7 F20 F33 F46 F59 F72 F85 F163 F241 F319 F397 F475 F553 F98 F176 F254 F332 F410 F488 F566 F111 F189 F267 F345 F423 F501 F579 F124 F202 F280 F358 F436 F514 F592 F137 F215 F293 F371 F449 F527 F605 F150 F228 F306 F384 F462 F540 F618">
    <cfRule type="cellIs" dxfId="49" priority="28" operator="equal">
      <formula>"行動ID"</formula>
    </cfRule>
  </conditionalFormatting>
  <conditionalFormatting sqref="F8:F12 F15:F18 F21:F25 F34:F38 F47:F51 F60:F64 F73:F77 F28:F31 F41:F44 F54:F57 F67:F70 F80:F83 F86:F90 F164:F168 F242:F246 F320:F324 F398:F402 F476:F480 F554:F558 F93:F96 F171:F174 F249:F252 F327:F330 F405:F408 F483:F486 F561:F564 F99:F103 F177:F181 F255:F259 F333:F337 F411:F415 F489:F493 F567:F571 F112:F116 F190:F194 F268:F272 F346:F350 F424:F428 F502:F506 F580:F584 F125:F129 F203:F207 F281:F285 F359:F363 F437:F441 F515:F519 F593:F597 F138:F142 F216:F220 F294:F298 F372:F376 F450:F454 F528:F532 F606:F610 F151:F155 F229:F233 F307:F311 F385:F389 F463:F467 F541:F545 F619:F623 F106:F109 F184:F187 F262:F265 F340:F343 F418:F421 F496:F499 F574:F577 F119:F122 F197:F200 F275:F278 F353:F356 F431:F434 F509:F512 F587:F590 F132:F135 F210:F213 F288:F291 F366:F369 F444:F447 F522:F525 F600:F603 F145:F148 F223:F226 F301:F304 F379:F382 F457:F460 F535:F538 F613:F616 F158:F161 F236:F239 F314:F317 F392:F395 F470:F473 F548:F551 F626:F629">
    <cfRule type="cellIs" dxfId="48" priority="21" operator="equal">
      <formula>"行動ID"</formula>
    </cfRule>
  </conditionalFormatting>
  <conditionalFormatting sqref="F13 F26 F39 F52 F65 F78 F91 F169 F247 F325 F403 F481 F559 F104 F182 F260 F338 F416 F494 F572 F117 F195 F273 F351 F429 F507 F585 F130 F208 F286 F364 F442 F520 F598 F143 F221 F299 F377 F455 F533 F611 F156 F234 F312 F390 F468 F546 F624">
    <cfRule type="cellIs" dxfId="47" priority="9" operator="equal">
      <formula>"行動ID"</formula>
    </cfRule>
  </conditionalFormatting>
  <conditionalFormatting sqref="F14 F27 F40 F53 F66 F79 F92 F170 F248 F326 F404 F482 F560 F105 F183 F261 F339 F417 F495 F573 F118 F196 F274 F352 F430 F508 F586 F131 F209 F287 F365 F443 F521 F599 F144 F222 F300 F378 F456 F534 F612 F157 F235 F313 F391 F469 F547 F625">
    <cfRule type="cellIs" dxfId="46" priority="5" operator="equal">
      <formula>"行動ID"</formula>
    </cfRule>
  </conditionalFormatting>
  <conditionalFormatting sqref="M1 M6:M1048576">
    <cfRule type="expression" dxfId="45" priority="3">
      <formula>OR($F1="行動序號",$F1="ID")</formula>
    </cfRule>
  </conditionalFormatting>
  <conditionalFormatting sqref="H10 G16 M6:M1048576 G18 M1 J8">
    <cfRule type="expression" dxfId="44" priority="2">
      <formula>_xlfn.ISFORMULA(G1)</formula>
    </cfRule>
  </conditionalFormatting>
  <conditionalFormatting sqref="M1 M6:M1048576">
    <cfRule type="expression" dxfId="43" priority="1">
      <formula>$F1="行動ID"</formula>
    </cfRule>
  </conditionalFormatting>
  <conditionalFormatting sqref="G18">
    <cfRule type="expression" dxfId="42" priority="904">
      <formula>OR($F2="行動序號",$F2="ID")</formula>
    </cfRule>
  </conditionalFormatting>
  <conditionalFormatting sqref="G18">
    <cfRule type="expression" dxfId="41" priority="908">
      <formula>$F2="行動ID"</formula>
    </cfRule>
  </conditionalFormatting>
  <conditionalFormatting sqref="G16 J8 H10">
    <cfRule type="expression" dxfId="40" priority="919">
      <formula>OR(#REF!="行動序號",#REF!="ID")</formula>
    </cfRule>
  </conditionalFormatting>
  <conditionalFormatting sqref="G16 J8 H10">
    <cfRule type="expression" dxfId="39" priority="922">
      <formula>#REF!="行動ID"</formula>
    </cfRule>
  </conditionalFormatting>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8992E-7FBF-45F9-A92F-CA2A0AA5C718}">
  <sheetPr codeName="AliasSheet"/>
  <dimension ref="A1:E84"/>
  <sheetViews>
    <sheetView workbookViewId="0">
      <selection activeCell="F12" sqref="F12"/>
    </sheetView>
  </sheetViews>
  <sheetFormatPr defaultRowHeight="16.5"/>
  <cols>
    <col min="1" max="1" width="9" style="9"/>
    <col min="2" max="2" width="13.25" style="9" bestFit="1" customWidth="1"/>
    <col min="3" max="3" width="13.875" style="9" bestFit="1" customWidth="1"/>
    <col min="4" max="4" width="13.875" style="9" customWidth="1"/>
    <col min="5" max="5" width="13" bestFit="1" customWidth="1"/>
  </cols>
  <sheetData>
    <row r="1" spans="1:5" s="6" customFormat="1" ht="19.5">
      <c r="A1" s="17" t="s">
        <v>49</v>
      </c>
      <c r="B1" s="17" t="s">
        <v>27</v>
      </c>
      <c r="C1" s="17" t="s">
        <v>141</v>
      </c>
      <c r="D1" s="17" t="s">
        <v>140</v>
      </c>
      <c r="E1" s="6" t="s">
        <v>36</v>
      </c>
    </row>
    <row r="2" spans="1:5">
      <c r="A2" s="9" t="s">
        <v>50</v>
      </c>
      <c r="B2" s="9" t="s">
        <v>28</v>
      </c>
      <c r="C2" s="9" t="s">
        <v>141</v>
      </c>
      <c r="D2" s="9" t="s">
        <v>139</v>
      </c>
      <c r="E2" s="9" t="s">
        <v>36</v>
      </c>
    </row>
    <row r="56" spans="1:4">
      <c r="A56" s="14"/>
      <c r="B56" s="14"/>
      <c r="C56" s="14"/>
      <c r="D56" s="14"/>
    </row>
    <row r="63" spans="1:4">
      <c r="A63" s="14"/>
      <c r="B63" s="14"/>
      <c r="C63" s="14"/>
      <c r="D63" s="14"/>
    </row>
    <row r="73" spans="1:4">
      <c r="A73" s="14"/>
      <c r="B73" s="14"/>
      <c r="C73" s="14"/>
      <c r="D73" s="14"/>
    </row>
    <row r="84" spans="1:4">
      <c r="A84" s="13"/>
      <c r="B84" s="13"/>
      <c r="C84" s="13"/>
      <c r="D84" s="13"/>
    </row>
  </sheetData>
  <phoneticPr fontId="2" type="noConversion"/>
  <conditionalFormatting sqref="E1:XFD1">
    <cfRule type="duplicateValues" dxfId="38" priority="1"/>
  </conditionalFormatting>
  <conditionalFormatting sqref="A1:D1">
    <cfRule type="duplicateValues" dxfId="37" priority="2"/>
  </conditionalFormatting>
  <dataValidations count="1">
    <dataValidation type="list" allowBlank="1" showInputMessage="1" showErrorMessage="1" sqref="B2" xr:uid="{41ACEA7B-85C6-4BA0-A9EC-67045450AC2F}">
      <formula1>_OPTION_</formula1>
    </dataValidation>
  </dataValidations>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060D0-7383-4A7B-A78A-4B84DD1CE7C5}">
  <sheetPr codeName="DefineSheet"/>
  <dimension ref="A1:L116"/>
  <sheetViews>
    <sheetView topLeftCell="A94" workbookViewId="0">
      <selection activeCell="B116" sqref="B116"/>
    </sheetView>
  </sheetViews>
  <sheetFormatPr defaultRowHeight="16.5"/>
  <cols>
    <col min="1" max="1" width="19.75" style="7" bestFit="1" customWidth="1"/>
    <col min="2" max="2" width="20.625" style="7" customWidth="1"/>
    <col min="3" max="3" width="24.625" style="7" bestFit="1" customWidth="1"/>
    <col min="4" max="4" width="9" style="7"/>
    <col min="6" max="16384" width="9" style="7"/>
  </cols>
  <sheetData>
    <row r="1" spans="1:12" s="6" customFormat="1">
      <c r="A1" s="6" t="s">
        <v>1</v>
      </c>
      <c r="B1" s="6" t="s">
        <v>18</v>
      </c>
      <c r="C1" s="6" t="s">
        <v>17</v>
      </c>
      <c r="E1" s="5"/>
      <c r="L1" s="7"/>
    </row>
    <row r="3" spans="1:12">
      <c r="A3" s="7" t="s">
        <v>27</v>
      </c>
      <c r="B3" t="s">
        <v>145</v>
      </c>
      <c r="C3" s="7" t="s">
        <v>21</v>
      </c>
      <c r="E3" t="str">
        <f t="shared" ref="E3:E88" si="0">B3&amp;","</f>
        <v>ID,</v>
      </c>
      <c r="H3"/>
      <c r="J3"/>
    </row>
    <row r="4" spans="1:12">
      <c r="A4" s="7" t="s">
        <v>27</v>
      </c>
      <c r="B4" s="7" t="s">
        <v>101</v>
      </c>
      <c r="C4" s="7" t="s">
        <v>37</v>
      </c>
      <c r="E4" t="str">
        <f t="shared" si="0"/>
        <v>行動ID,</v>
      </c>
      <c r="H4"/>
    </row>
    <row r="5" spans="1:12">
      <c r="A5" s="7" t="s">
        <v>27</v>
      </c>
      <c r="B5" s="7" t="s">
        <v>99</v>
      </c>
      <c r="C5" s="7" t="s">
        <v>38</v>
      </c>
      <c r="E5" t="str">
        <f t="shared" si="0"/>
        <v>玩家,</v>
      </c>
      <c r="H5"/>
    </row>
    <row r="6" spans="1:12">
      <c r="A6" s="7" t="s">
        <v>27</v>
      </c>
      <c r="B6" s="7" t="s">
        <v>102</v>
      </c>
      <c r="C6" s="7" t="s">
        <v>22</v>
      </c>
      <c r="E6" t="str">
        <f t="shared" si="0"/>
        <v>玩家子彈,</v>
      </c>
      <c r="H6"/>
    </row>
    <row r="7" spans="1:12">
      <c r="A7" s="7" t="s">
        <v>27</v>
      </c>
      <c r="B7" s="7" t="s">
        <v>48</v>
      </c>
      <c r="C7" s="7" t="s">
        <v>23</v>
      </c>
      <c r="E7" t="str">
        <f t="shared" si="0"/>
        <v>BOSS,</v>
      </c>
      <c r="H7"/>
      <c r="I7" s="10"/>
    </row>
    <row r="8" spans="1:12">
      <c r="A8" s="7" t="s">
        <v>27</v>
      </c>
      <c r="B8" s="7" t="s">
        <v>146</v>
      </c>
      <c r="C8" s="7" t="s">
        <v>32</v>
      </c>
      <c r="E8" t="str">
        <f t="shared" si="0"/>
        <v>復位,</v>
      </c>
      <c r="H8"/>
      <c r="I8" s="11"/>
    </row>
    <row r="9" spans="1:12">
      <c r="A9" s="7" t="s">
        <v>27</v>
      </c>
      <c r="B9" s="7" t="s">
        <v>110</v>
      </c>
      <c r="C9" s="7" t="s">
        <v>39</v>
      </c>
      <c r="E9" t="str">
        <f t="shared" si="0"/>
        <v>BOSSDEAD,</v>
      </c>
      <c r="H9"/>
      <c r="I9" s="11"/>
    </row>
    <row r="10" spans="1:12">
      <c r="A10" s="7" t="s">
        <v>27</v>
      </c>
      <c r="B10" s="7" t="s">
        <v>233</v>
      </c>
      <c r="C10" s="7" t="s">
        <v>33</v>
      </c>
      <c r="E10" t="str">
        <f t="shared" si="0"/>
        <v>BOSSLEAVE,</v>
      </c>
      <c r="H10"/>
      <c r="I10" s="11"/>
    </row>
    <row r="11" spans="1:12">
      <c r="A11" s="7" t="s">
        <v>27</v>
      </c>
      <c r="B11" s="7" t="s">
        <v>147</v>
      </c>
      <c r="C11" s="7" t="s">
        <v>40</v>
      </c>
      <c r="E11" t="str">
        <f t="shared" si="0"/>
        <v>Power,</v>
      </c>
      <c r="H11"/>
      <c r="I11" s="11"/>
    </row>
    <row r="12" spans="1:12">
      <c r="A12" s="7" t="s">
        <v>27</v>
      </c>
      <c r="B12" s="7" t="s">
        <v>45</v>
      </c>
      <c r="C12" s="7" t="s">
        <v>34</v>
      </c>
      <c r="E12" t="str">
        <f t="shared" si="0"/>
        <v>符卡,</v>
      </c>
      <c r="H12"/>
      <c r="I12" s="11"/>
    </row>
    <row r="13" spans="1:12">
      <c r="A13" s="7" t="s">
        <v>27</v>
      </c>
      <c r="B13" s="7" t="s">
        <v>103</v>
      </c>
      <c r="C13" s="7" t="s">
        <v>41</v>
      </c>
      <c r="E13" t="str">
        <f t="shared" si="0"/>
        <v>標題,</v>
      </c>
      <c r="H13"/>
      <c r="I13" s="11"/>
    </row>
    <row r="14" spans="1:12">
      <c r="A14" s="7" t="s">
        <v>27</v>
      </c>
      <c r="B14" s="7" t="s">
        <v>104</v>
      </c>
      <c r="C14" s="7" t="s">
        <v>42</v>
      </c>
      <c r="E14" t="str">
        <f t="shared" si="0"/>
        <v>對話,</v>
      </c>
      <c r="H14"/>
    </row>
    <row r="15" spans="1:12">
      <c r="A15" s="7" t="s">
        <v>27</v>
      </c>
      <c r="B15" s="7" t="s">
        <v>130</v>
      </c>
      <c r="C15" s="7" t="s">
        <v>43</v>
      </c>
      <c r="E15" t="str">
        <f t="shared" si="0"/>
        <v>播放音樂,</v>
      </c>
      <c r="H15"/>
    </row>
    <row r="16" spans="1:12">
      <c r="A16" s="7" t="s">
        <v>27</v>
      </c>
      <c r="B16" s="7" t="s">
        <v>131</v>
      </c>
      <c r="C16" s="7" t="s">
        <v>44</v>
      </c>
      <c r="E16" t="str">
        <f t="shared" si="0"/>
        <v>關卡結束,</v>
      </c>
      <c r="H16"/>
    </row>
    <row r="17" spans="1:8">
      <c r="A17" s="7" t="s">
        <v>27</v>
      </c>
      <c r="B17" s="7" t="s">
        <v>148</v>
      </c>
      <c r="C17" s="7" t="s">
        <v>234</v>
      </c>
      <c r="E17" t="str">
        <f t="shared" si="0"/>
        <v>下一關,</v>
      </c>
      <c r="H17"/>
    </row>
    <row r="18" spans="1:8">
      <c r="H18"/>
    </row>
    <row r="19" spans="1:8">
      <c r="H19"/>
    </row>
    <row r="20" spans="1:8">
      <c r="A20" s="7" t="s">
        <v>27</v>
      </c>
      <c r="B20" s="7" t="s">
        <v>144</v>
      </c>
      <c r="C20" s="7" t="s">
        <v>149</v>
      </c>
      <c r="E20" t="str">
        <f t="shared" si="0"/>
        <v>啟動依ID,</v>
      </c>
      <c r="H20"/>
    </row>
    <row r="21" spans="1:8">
      <c r="A21" s="7" t="s">
        <v>27</v>
      </c>
      <c r="B21" s="7" t="s">
        <v>150</v>
      </c>
      <c r="C21" s="7" t="s">
        <v>151</v>
      </c>
      <c r="E21" t="str">
        <f t="shared" si="0"/>
        <v>啟動依遊戲時間,</v>
      </c>
      <c r="H21"/>
    </row>
    <row r="22" spans="1:8">
      <c r="A22" s="7" t="s">
        <v>27</v>
      </c>
      <c r="B22" s="7" t="s">
        <v>126</v>
      </c>
      <c r="C22" s="7" t="s">
        <v>152</v>
      </c>
      <c r="E22" t="str">
        <f t="shared" si="0"/>
        <v>啟動依開始時間後,</v>
      </c>
      <c r="H22"/>
    </row>
    <row r="23" spans="1:8">
      <c r="A23" s="7" t="s">
        <v>27</v>
      </c>
      <c r="B23" s="7" t="s">
        <v>127</v>
      </c>
      <c r="C23" s="7" t="s">
        <v>153</v>
      </c>
      <c r="E23" t="str">
        <f t="shared" si="0"/>
        <v>啟動依結束時間前,</v>
      </c>
      <c r="H23"/>
    </row>
    <row r="24" spans="1:8">
      <c r="A24" s="7" t="s">
        <v>27</v>
      </c>
      <c r="B24" s="7" t="s">
        <v>128</v>
      </c>
      <c r="C24" s="7" t="s">
        <v>154</v>
      </c>
      <c r="E24" t="str">
        <f t="shared" si="0"/>
        <v>啟動依位置,</v>
      </c>
      <c r="H24"/>
    </row>
    <row r="25" spans="1:8">
      <c r="A25" s="7" t="s">
        <v>27</v>
      </c>
      <c r="B25" s="7" t="s">
        <v>129</v>
      </c>
      <c r="C25" s="7" t="s">
        <v>155</v>
      </c>
      <c r="E25" t="str">
        <f t="shared" si="0"/>
        <v>啟動依位置距離,</v>
      </c>
      <c r="H25"/>
    </row>
    <row r="26" spans="1:8">
      <c r="A26" s="7" t="s">
        <v>27</v>
      </c>
      <c r="B26" s="7" t="s">
        <v>156</v>
      </c>
      <c r="C26" s="7" t="s">
        <v>157</v>
      </c>
      <c r="E26" t="str">
        <f t="shared" si="0"/>
        <v>啟動依玩家死亡,</v>
      </c>
      <c r="H26"/>
    </row>
    <row r="27" spans="1:8">
      <c r="A27" s="7" t="s">
        <v>27</v>
      </c>
      <c r="B27" s="7" t="s">
        <v>158</v>
      </c>
      <c r="C27" s="7" t="s">
        <v>159</v>
      </c>
      <c r="E27" t="str">
        <f t="shared" si="0"/>
        <v>啟動位置是活動,</v>
      </c>
      <c r="H27"/>
    </row>
    <row r="28" spans="1:8">
      <c r="H28"/>
    </row>
    <row r="29" spans="1:8">
      <c r="H29"/>
    </row>
    <row r="30" spans="1:8">
      <c r="A30" s="7" t="s">
        <v>27</v>
      </c>
      <c r="B30" s="7" t="s">
        <v>29</v>
      </c>
      <c r="C30" s="7" t="s">
        <v>160</v>
      </c>
      <c r="E30" t="str">
        <f t="shared" si="0"/>
        <v>物件,</v>
      </c>
      <c r="H30"/>
    </row>
    <row r="31" spans="1:8">
      <c r="A31" s="7" t="s">
        <v>27</v>
      </c>
      <c r="B31" s="7" t="s">
        <v>118</v>
      </c>
      <c r="C31" s="7" t="s">
        <v>161</v>
      </c>
      <c r="E31" t="str">
        <f t="shared" si="0"/>
        <v>Sprite,</v>
      </c>
      <c r="H31"/>
    </row>
    <row r="32" spans="1:8">
      <c r="A32" s="7" t="s">
        <v>27</v>
      </c>
      <c r="B32" s="7" t="s">
        <v>100</v>
      </c>
      <c r="C32" s="7" t="s">
        <v>162</v>
      </c>
      <c r="E32" t="str">
        <f t="shared" si="0"/>
        <v>動畫,</v>
      </c>
      <c r="H32"/>
    </row>
    <row r="33" spans="1:8">
      <c r="A33" s="7" t="s">
        <v>27</v>
      </c>
      <c r="B33" s="7" t="s">
        <v>106</v>
      </c>
      <c r="C33" s="7" t="s">
        <v>163</v>
      </c>
      <c r="E33" t="str">
        <f t="shared" si="0"/>
        <v>Name,</v>
      </c>
      <c r="F33" s="4"/>
      <c r="H33"/>
    </row>
    <row r="34" spans="1:8">
      <c r="A34" s="7" t="s">
        <v>27</v>
      </c>
      <c r="B34" s="7" t="s">
        <v>105</v>
      </c>
      <c r="C34" s="7" t="s">
        <v>164</v>
      </c>
      <c r="E34" t="str">
        <f t="shared" si="0"/>
        <v>傷害,</v>
      </c>
      <c r="F34" s="4"/>
      <c r="H34"/>
    </row>
    <row r="35" spans="1:8">
      <c r="A35" s="7" t="s">
        <v>27</v>
      </c>
      <c r="B35" s="7" t="s">
        <v>46</v>
      </c>
      <c r="C35" s="7" t="s">
        <v>165</v>
      </c>
      <c r="E35" t="str">
        <f t="shared" si="0"/>
        <v>HP,</v>
      </c>
      <c r="F35" s="4"/>
      <c r="H35"/>
    </row>
    <row r="36" spans="1:8">
      <c r="A36" s="7" t="s">
        <v>27</v>
      </c>
      <c r="B36" s="7" t="s">
        <v>166</v>
      </c>
      <c r="C36" s="7" t="s">
        <v>167</v>
      </c>
      <c r="E36" t="str">
        <f t="shared" si="0"/>
        <v>Power掉落,</v>
      </c>
      <c r="F36" s="4"/>
      <c r="H36"/>
    </row>
    <row r="37" spans="1:8">
      <c r="A37" s="7" t="s">
        <v>27</v>
      </c>
      <c r="B37" s="7" t="s">
        <v>168</v>
      </c>
      <c r="C37" s="7" t="s">
        <v>169</v>
      </c>
      <c r="E37" t="str">
        <f t="shared" si="0"/>
        <v>加ID,</v>
      </c>
      <c r="F37" s="4"/>
      <c r="H37"/>
    </row>
    <row r="38" spans="1:8">
      <c r="F38" s="4"/>
      <c r="H38"/>
    </row>
    <row r="39" spans="1:8">
      <c r="F39" s="4"/>
      <c r="H39"/>
    </row>
    <row r="40" spans="1:8">
      <c r="A40" s="7" t="s">
        <v>27</v>
      </c>
      <c r="B40" s="7" t="s">
        <v>35</v>
      </c>
      <c r="C40" s="7" t="s">
        <v>170</v>
      </c>
      <c r="E40" t="str">
        <f t="shared" si="0"/>
        <v>行動時間,</v>
      </c>
      <c r="F40" s="4"/>
      <c r="H40"/>
    </row>
    <row r="41" spans="1:8">
      <c r="A41" s="7" t="s">
        <v>27</v>
      </c>
      <c r="B41" s="7" t="s">
        <v>97</v>
      </c>
      <c r="C41" s="7" t="s">
        <v>171</v>
      </c>
      <c r="E41" t="str">
        <f t="shared" si="0"/>
        <v>回收時間,</v>
      </c>
      <c r="H41"/>
    </row>
    <row r="42" spans="1:8">
      <c r="A42" s="7" t="s">
        <v>27</v>
      </c>
      <c r="B42" s="7" t="s">
        <v>107</v>
      </c>
      <c r="C42" s="7" t="s">
        <v>172</v>
      </c>
      <c r="E42" t="str">
        <f t="shared" si="0"/>
        <v>死亡時間,</v>
      </c>
      <c r="H42"/>
    </row>
    <row r="43" spans="1:8">
      <c r="A43" s="7" t="s">
        <v>27</v>
      </c>
      <c r="B43" s="7" t="s">
        <v>225</v>
      </c>
      <c r="C43" s="7" t="s">
        <v>226</v>
      </c>
      <c r="E43" t="str">
        <f t="shared" si="0"/>
        <v>符卡時間,</v>
      </c>
      <c r="H43"/>
    </row>
    <row r="44" spans="1:8">
      <c r="B44" s="26"/>
      <c r="H44"/>
    </row>
    <row r="45" spans="1:8">
      <c r="H45"/>
    </row>
    <row r="46" spans="1:8">
      <c r="A46" s="7" t="s">
        <v>27</v>
      </c>
      <c r="B46" s="7" t="s">
        <v>98</v>
      </c>
      <c r="C46" s="7" t="s">
        <v>173</v>
      </c>
      <c r="E46" t="str">
        <f t="shared" si="0"/>
        <v>移位置,</v>
      </c>
      <c r="H46"/>
    </row>
    <row r="47" spans="1:8">
      <c r="A47" s="7" t="s">
        <v>27</v>
      </c>
      <c r="B47" s="7" t="s">
        <v>116</v>
      </c>
      <c r="C47" s="7" t="s">
        <v>174</v>
      </c>
      <c r="E47" t="str">
        <f t="shared" si="0"/>
        <v>相對位置,</v>
      </c>
      <c r="H47"/>
    </row>
    <row r="48" spans="1:8">
      <c r="A48" s="7" t="s">
        <v>27</v>
      </c>
      <c r="B48" s="7" t="s">
        <v>133</v>
      </c>
      <c r="C48" s="7" t="s">
        <v>175</v>
      </c>
      <c r="E48" t="str">
        <f t="shared" si="0"/>
        <v>位置參數,</v>
      </c>
      <c r="H48"/>
    </row>
    <row r="49" spans="1:8">
      <c r="A49" s="7" t="s">
        <v>27</v>
      </c>
      <c r="B49" s="7" t="s">
        <v>176</v>
      </c>
      <c r="C49" s="7" t="s">
        <v>177</v>
      </c>
      <c r="E49" t="str">
        <f t="shared" si="0"/>
        <v>加位置,</v>
      </c>
      <c r="H49"/>
    </row>
    <row r="50" spans="1:8">
      <c r="A50" s="7" t="s">
        <v>27</v>
      </c>
      <c r="B50" s="7" t="s">
        <v>240</v>
      </c>
      <c r="C50" s="7" t="s">
        <v>241</v>
      </c>
      <c r="E50" t="str">
        <f t="shared" si="0"/>
        <v>記錄位置,</v>
      </c>
      <c r="H50"/>
    </row>
    <row r="51" spans="1:8">
      <c r="A51" s="7" t="s">
        <v>27</v>
      </c>
      <c r="B51" s="7" t="s">
        <v>242</v>
      </c>
      <c r="C51" s="7" t="s">
        <v>243</v>
      </c>
      <c r="E51" t="str">
        <f t="shared" si="0"/>
        <v>記錄位置序號,</v>
      </c>
      <c r="H51"/>
    </row>
    <row r="52" spans="1:8">
      <c r="H52"/>
    </row>
    <row r="53" spans="1:8">
      <c r="H53"/>
    </row>
    <row r="54" spans="1:8">
      <c r="A54" s="7" t="s">
        <v>27</v>
      </c>
      <c r="B54" s="7" t="s">
        <v>31</v>
      </c>
      <c r="C54" s="7" t="s">
        <v>178</v>
      </c>
      <c r="E54" t="str">
        <f t="shared" si="0"/>
        <v>移動角度,</v>
      </c>
      <c r="H54"/>
    </row>
    <row r="55" spans="1:8">
      <c r="A55" s="7" t="s">
        <v>27</v>
      </c>
      <c r="B55" s="7" t="s">
        <v>111</v>
      </c>
      <c r="C55" s="7" t="s">
        <v>179</v>
      </c>
      <c r="E55" t="str">
        <f t="shared" si="0"/>
        <v>加移動角度,</v>
      </c>
      <c r="F55" s="9"/>
      <c r="H55"/>
    </row>
    <row r="56" spans="1:8">
      <c r="A56" s="7" t="s">
        <v>27</v>
      </c>
      <c r="B56" s="7" t="s">
        <v>112</v>
      </c>
      <c r="C56" s="7" t="s">
        <v>180</v>
      </c>
      <c r="E56" t="str">
        <f t="shared" si="0"/>
        <v>旋轉角度,</v>
      </c>
      <c r="F56" s="9"/>
      <c r="H56"/>
    </row>
    <row r="57" spans="1:8">
      <c r="A57" s="7" t="s">
        <v>27</v>
      </c>
      <c r="B57" s="7" t="s">
        <v>113</v>
      </c>
      <c r="C57" s="7" t="s">
        <v>181</v>
      </c>
      <c r="E57" t="str">
        <f t="shared" si="0"/>
        <v>加旋轉角度,</v>
      </c>
      <c r="F57" s="9"/>
      <c r="H57"/>
    </row>
    <row r="58" spans="1:8">
      <c r="A58" s="7" t="s">
        <v>27</v>
      </c>
      <c r="B58" s="7" t="s">
        <v>132</v>
      </c>
      <c r="C58" s="7" t="s">
        <v>182</v>
      </c>
      <c r="E58" t="str">
        <f t="shared" si="0"/>
        <v>角度參數,</v>
      </c>
      <c r="F58" s="9"/>
      <c r="H58"/>
    </row>
    <row r="59" spans="1:8">
      <c r="A59" s="7" t="s">
        <v>27</v>
      </c>
      <c r="B59" s="7" t="s">
        <v>143</v>
      </c>
      <c r="C59" s="7" t="s">
        <v>183</v>
      </c>
      <c r="E59" t="str">
        <f t="shared" si="0"/>
        <v>加角度,</v>
      </c>
      <c r="F59" s="9"/>
      <c r="H59"/>
    </row>
    <row r="60" spans="1:8">
      <c r="A60" s="7" t="s">
        <v>27</v>
      </c>
      <c r="B60" s="7" t="s">
        <v>114</v>
      </c>
      <c r="C60" s="7" t="s">
        <v>184</v>
      </c>
      <c r="E60" t="str">
        <f t="shared" si="0"/>
        <v>旋轉是移動角度,</v>
      </c>
      <c r="H60"/>
    </row>
    <row r="61" spans="1:8">
      <c r="A61" s="7" t="s">
        <v>27</v>
      </c>
      <c r="B61" s="27" t="s">
        <v>235</v>
      </c>
      <c r="C61" s="7" t="s">
        <v>236</v>
      </c>
      <c r="E61" t="str">
        <f t="shared" si="0"/>
        <v>子旋轉角度,</v>
      </c>
      <c r="H61"/>
    </row>
    <row r="62" spans="1:8">
      <c r="A62" s="7" t="s">
        <v>27</v>
      </c>
      <c r="B62" s="27" t="s">
        <v>237</v>
      </c>
      <c r="C62" s="7" t="s">
        <v>238</v>
      </c>
      <c r="E62" t="str">
        <f t="shared" si="0"/>
        <v>子加旋轉角度,</v>
      </c>
      <c r="H62"/>
    </row>
    <row r="63" spans="1:8">
      <c r="A63" s="7" t="s">
        <v>27</v>
      </c>
      <c r="B63" s="7" t="s">
        <v>244</v>
      </c>
      <c r="C63" s="7" t="s">
        <v>245</v>
      </c>
      <c r="E63" t="str">
        <f t="shared" si="0"/>
        <v>記錄角度,</v>
      </c>
      <c r="H63"/>
    </row>
    <row r="64" spans="1:8">
      <c r="A64" s="7" t="s">
        <v>27</v>
      </c>
      <c r="B64" s="7" t="s">
        <v>247</v>
      </c>
      <c r="C64" s="7" t="s">
        <v>246</v>
      </c>
      <c r="E64" t="str">
        <f t="shared" si="0"/>
        <v>記錄角度ID,</v>
      </c>
      <c r="H64"/>
    </row>
    <row r="65" spans="1:11">
      <c r="B65" s="27"/>
      <c r="H65"/>
    </row>
    <row r="66" spans="1:11">
      <c r="H66"/>
    </row>
    <row r="67" spans="1:11">
      <c r="A67" s="7" t="s">
        <v>27</v>
      </c>
      <c r="B67" s="7" t="s">
        <v>30</v>
      </c>
      <c r="C67" s="7" t="s">
        <v>185</v>
      </c>
      <c r="E67" t="str">
        <f t="shared" si="0"/>
        <v>速度,</v>
      </c>
      <c r="H67"/>
    </row>
    <row r="68" spans="1:11">
      <c r="A68" s="7" t="s">
        <v>27</v>
      </c>
      <c r="B68" s="7" t="s">
        <v>115</v>
      </c>
      <c r="C68" s="7" t="s">
        <v>186</v>
      </c>
      <c r="E68" t="str">
        <f t="shared" si="0"/>
        <v>加速度,</v>
      </c>
      <c r="H68"/>
    </row>
    <row r="69" spans="1:11">
      <c r="A69" s="7" t="s">
        <v>27</v>
      </c>
      <c r="B69" s="7" t="s">
        <v>108</v>
      </c>
      <c r="C69" s="7" t="s">
        <v>187</v>
      </c>
      <c r="E69" t="str">
        <f t="shared" si="0"/>
        <v>最小速度,</v>
      </c>
      <c r="H69"/>
    </row>
    <row r="70" spans="1:11">
      <c r="A70" s="7" t="s">
        <v>27</v>
      </c>
      <c r="B70" s="7" t="s">
        <v>109</v>
      </c>
      <c r="C70" s="7" t="s">
        <v>188</v>
      </c>
      <c r="E70" t="str">
        <f t="shared" si="0"/>
        <v>最大速度,</v>
      </c>
      <c r="H70"/>
    </row>
    <row r="71" spans="1:11">
      <c r="H71"/>
    </row>
    <row r="72" spans="1:11">
      <c r="H72"/>
    </row>
    <row r="73" spans="1:11">
      <c r="A73" s="7" t="s">
        <v>27</v>
      </c>
      <c r="B73" s="7" t="s">
        <v>189</v>
      </c>
      <c r="C73" s="7" t="s">
        <v>190</v>
      </c>
      <c r="E73" t="str">
        <f t="shared" si="0"/>
        <v>是界內,</v>
      </c>
      <c r="H73"/>
    </row>
    <row r="74" spans="1:11">
      <c r="A74" s="7" t="s">
        <v>27</v>
      </c>
      <c r="B74" s="7" t="s">
        <v>47</v>
      </c>
      <c r="C74" s="7" t="s">
        <v>191</v>
      </c>
      <c r="E74" t="str">
        <f t="shared" si="0"/>
        <v>無敵,</v>
      </c>
      <c r="H74"/>
    </row>
    <row r="75" spans="1:11">
      <c r="A75" s="7" t="s">
        <v>27</v>
      </c>
      <c r="B75" s="7" t="s">
        <v>117</v>
      </c>
      <c r="C75" s="7" t="s">
        <v>192</v>
      </c>
      <c r="E75" t="str">
        <f t="shared" si="0"/>
        <v>貫穿,</v>
      </c>
      <c r="H75"/>
    </row>
    <row r="76" spans="1:11">
      <c r="A76" s="7" t="s">
        <v>27</v>
      </c>
      <c r="B76" s="7" t="s">
        <v>125</v>
      </c>
      <c r="C76" s="7" t="s">
        <v>193</v>
      </c>
      <c r="E76" t="str">
        <f t="shared" si="0"/>
        <v>回收距離,</v>
      </c>
      <c r="H76"/>
    </row>
    <row r="77" spans="1:11">
      <c r="A77" s="7" t="s">
        <v>27</v>
      </c>
      <c r="B77" s="7" t="s">
        <v>194</v>
      </c>
      <c r="C77" s="7" t="s">
        <v>195</v>
      </c>
      <c r="E77" t="str">
        <f t="shared" si="0"/>
        <v>出生動畫速率,</v>
      </c>
      <c r="H77"/>
    </row>
    <row r="78" spans="1:11">
      <c r="A78" s="7" t="s">
        <v>27</v>
      </c>
      <c r="B78" s="7" t="s">
        <v>196</v>
      </c>
      <c r="C78" s="7" t="s">
        <v>197</v>
      </c>
      <c r="E78" t="str">
        <f t="shared" si="0"/>
        <v>出生動畫時間,</v>
      </c>
      <c r="H78"/>
    </row>
    <row r="79" spans="1:11">
      <c r="A79" s="7" t="s">
        <v>27</v>
      </c>
      <c r="B79" s="7" t="s">
        <v>198</v>
      </c>
      <c r="C79" s="7" t="s">
        <v>199</v>
      </c>
      <c r="E79" t="str">
        <f t="shared" si="0"/>
        <v>出生動畫開始,</v>
      </c>
      <c r="H79"/>
    </row>
    <row r="80" spans="1:11">
      <c r="A80" s="7" t="s">
        <v>27</v>
      </c>
      <c r="B80" s="7" t="s">
        <v>200</v>
      </c>
      <c r="C80" s="7" t="s">
        <v>201</v>
      </c>
      <c r="E80" t="str">
        <f t="shared" si="0"/>
        <v>行動ID結束,</v>
      </c>
      <c r="H80"/>
      <c r="K80" s="4"/>
    </row>
    <row r="81" spans="1:11">
      <c r="H81"/>
      <c r="K81" s="4"/>
    </row>
    <row r="82" spans="1:11">
      <c r="H82"/>
      <c r="K82" s="4"/>
    </row>
    <row r="83" spans="1:11">
      <c r="A83" s="7" t="s">
        <v>27</v>
      </c>
      <c r="B83" s="7" t="s">
        <v>119</v>
      </c>
      <c r="C83" s="7" t="s">
        <v>202</v>
      </c>
      <c r="E83" t="str">
        <f t="shared" si="0"/>
        <v>時位時間,</v>
      </c>
      <c r="H83"/>
      <c r="K83" s="4"/>
    </row>
    <row r="84" spans="1:11">
      <c r="A84" s="7" t="s">
        <v>27</v>
      </c>
      <c r="B84" s="7" t="s">
        <v>120</v>
      </c>
      <c r="C84" s="7" t="s">
        <v>203</v>
      </c>
      <c r="E84" t="str">
        <f t="shared" si="0"/>
        <v>時位位置,</v>
      </c>
      <c r="H84"/>
      <c r="K84" s="4"/>
    </row>
    <row r="85" spans="1:11">
      <c r="A85" s="7" t="s">
        <v>27</v>
      </c>
      <c r="B85" s="7" t="s">
        <v>121</v>
      </c>
      <c r="C85" s="7" t="s">
        <v>204</v>
      </c>
      <c r="E85" t="str">
        <f t="shared" si="0"/>
        <v>時位變速點,</v>
      </c>
      <c r="H85"/>
      <c r="K85" s="9"/>
    </row>
    <row r="86" spans="1:11">
      <c r="A86" s="7" t="s">
        <v>27</v>
      </c>
      <c r="B86" s="7" t="s">
        <v>122</v>
      </c>
      <c r="C86" s="7" t="s">
        <v>205</v>
      </c>
      <c r="E86" t="str">
        <f t="shared" si="0"/>
        <v>時位開始速度,</v>
      </c>
      <c r="H86"/>
      <c r="K86" s="9"/>
    </row>
    <row r="87" spans="1:11">
      <c r="A87" s="7" t="s">
        <v>27</v>
      </c>
      <c r="B87" s="7" t="s">
        <v>123</v>
      </c>
      <c r="C87" s="7" t="s">
        <v>206</v>
      </c>
      <c r="E87" t="str">
        <f t="shared" si="0"/>
        <v>時位結束速度,</v>
      </c>
      <c r="H87"/>
      <c r="K87" s="9"/>
    </row>
    <row r="88" spans="1:11">
      <c r="A88" s="7" t="s">
        <v>27</v>
      </c>
      <c r="B88" s="7" t="s">
        <v>124</v>
      </c>
      <c r="C88" s="7" t="s">
        <v>207</v>
      </c>
      <c r="E88" t="str">
        <f t="shared" si="0"/>
        <v>時位移動角度,</v>
      </c>
      <c r="H88"/>
    </row>
    <row r="89" spans="1:11">
      <c r="H89"/>
    </row>
    <row r="90" spans="1:11">
      <c r="H90"/>
    </row>
    <row r="91" spans="1:11">
      <c r="A91" s="7" t="s">
        <v>27</v>
      </c>
      <c r="B91" s="7" t="s">
        <v>208</v>
      </c>
      <c r="C91" s="7" t="s">
        <v>209</v>
      </c>
      <c r="E91" t="str">
        <f t="shared" ref="E91:E95" si="1">B91&amp;","</f>
        <v>玩家遊戲時間,</v>
      </c>
      <c r="H91"/>
    </row>
    <row r="92" spans="1:11">
      <c r="A92" s="7" t="s">
        <v>27</v>
      </c>
      <c r="B92" s="7" t="s">
        <v>210</v>
      </c>
      <c r="C92" s="7" t="s">
        <v>211</v>
      </c>
      <c r="E92" t="str">
        <f t="shared" si="1"/>
        <v>玩家子彈間隔,</v>
      </c>
      <c r="H92"/>
    </row>
    <row r="93" spans="1:11">
      <c r="A93" s="7" t="s">
        <v>27</v>
      </c>
      <c r="B93" s="7" t="s">
        <v>212</v>
      </c>
      <c r="C93" s="7" t="s">
        <v>213</v>
      </c>
      <c r="E93" t="str">
        <f t="shared" si="1"/>
        <v>玩家Power需求,</v>
      </c>
      <c r="H93"/>
    </row>
    <row r="94" spans="1:11">
      <c r="A94" s="7" t="s">
        <v>27</v>
      </c>
      <c r="B94" s="7" t="s">
        <v>214</v>
      </c>
      <c r="C94" s="7" t="s">
        <v>215</v>
      </c>
      <c r="E94" t="str">
        <f t="shared" si="1"/>
        <v>玩家Shift,</v>
      </c>
      <c r="H94"/>
    </row>
    <row r="95" spans="1:11">
      <c r="A95" s="7" t="s">
        <v>27</v>
      </c>
      <c r="B95" s="7" t="s">
        <v>216</v>
      </c>
      <c r="C95" s="7" t="s">
        <v>217</v>
      </c>
      <c r="E95" t="str">
        <f t="shared" si="1"/>
        <v>玩家子彈延遲,</v>
      </c>
      <c r="H95"/>
    </row>
    <row r="96" spans="1:11">
      <c r="H96"/>
    </row>
    <row r="97" spans="1:12">
      <c r="H97"/>
    </row>
    <row r="98" spans="1:12">
      <c r="H98"/>
    </row>
    <row r="99" spans="1:12">
      <c r="H99"/>
    </row>
    <row r="100" spans="1:12">
      <c r="H100"/>
    </row>
    <row r="101" spans="1:12">
      <c r="H101"/>
    </row>
    <row r="102" spans="1:12">
      <c r="H102"/>
    </row>
    <row r="103" spans="1:12">
      <c r="A103" s="7" t="s">
        <v>140</v>
      </c>
      <c r="B103" s="7" t="s">
        <v>136</v>
      </c>
      <c r="C103" s="7" t="s">
        <v>21</v>
      </c>
      <c r="H103"/>
    </row>
    <row r="104" spans="1:12" customFormat="1">
      <c r="A104" s="7" t="s">
        <v>140</v>
      </c>
      <c r="B104" t="s">
        <v>137</v>
      </c>
      <c r="C104" s="7" t="s">
        <v>25</v>
      </c>
      <c r="D104" s="7"/>
      <c r="L104" s="7"/>
    </row>
    <row r="105" spans="1:12" customFormat="1">
      <c r="A105" s="7" t="s">
        <v>140</v>
      </c>
      <c r="B105" t="s">
        <v>138</v>
      </c>
      <c r="C105" s="7" t="s">
        <v>26</v>
      </c>
      <c r="D105" s="7"/>
      <c r="L105" s="7"/>
    </row>
    <row r="106" spans="1:12" customFormat="1">
      <c r="A106" s="7" t="s">
        <v>140</v>
      </c>
      <c r="B106" t="s">
        <v>218</v>
      </c>
      <c r="C106" s="7" t="s">
        <v>96</v>
      </c>
      <c r="D106" s="7"/>
      <c r="L106" s="7"/>
    </row>
    <row r="107" spans="1:12" customFormat="1">
      <c r="A107" s="7" t="s">
        <v>140</v>
      </c>
      <c r="B107" t="s">
        <v>219</v>
      </c>
      <c r="C107" s="7" t="s">
        <v>23</v>
      </c>
      <c r="D107" s="7"/>
      <c r="L107" s="7"/>
    </row>
    <row r="108" spans="1:12" customFormat="1">
      <c r="A108" s="7" t="s">
        <v>140</v>
      </c>
      <c r="B108" t="s">
        <v>220</v>
      </c>
      <c r="C108" s="7" t="s">
        <v>24</v>
      </c>
      <c r="D108" s="7"/>
      <c r="L108" s="7"/>
    </row>
    <row r="109" spans="1:12" customFormat="1">
      <c r="A109" s="7"/>
      <c r="C109" s="7"/>
      <c r="D109" s="7"/>
      <c r="L109" s="7"/>
    </row>
    <row r="110" spans="1:12" customFormat="1">
      <c r="A110" s="7"/>
      <c r="C110" s="7"/>
      <c r="D110" s="7"/>
      <c r="L110" s="7"/>
    </row>
    <row r="111" spans="1:12" customFormat="1">
      <c r="A111" s="7" t="s">
        <v>141</v>
      </c>
      <c r="B111" t="s">
        <v>134</v>
      </c>
      <c r="C111" s="7" t="s">
        <v>21</v>
      </c>
      <c r="D111" s="4"/>
      <c r="L111" s="7"/>
    </row>
    <row r="112" spans="1:12" customFormat="1">
      <c r="A112" s="7" t="s">
        <v>141</v>
      </c>
      <c r="B112" t="s">
        <v>135</v>
      </c>
      <c r="C112" s="7" t="s">
        <v>37</v>
      </c>
      <c r="D112" s="7"/>
      <c r="L112" s="7"/>
    </row>
    <row r="113" spans="1:12" customFormat="1">
      <c r="A113" s="7" t="s">
        <v>141</v>
      </c>
      <c r="B113" t="s">
        <v>142</v>
      </c>
      <c r="C113" s="7" t="s">
        <v>38</v>
      </c>
      <c r="D113" s="7"/>
      <c r="L113" s="7"/>
    </row>
    <row r="114" spans="1:12" customFormat="1">
      <c r="A114" s="7" t="s">
        <v>141</v>
      </c>
      <c r="B114" t="s">
        <v>221</v>
      </c>
      <c r="C114" s="7" t="s">
        <v>22</v>
      </c>
      <c r="D114" s="7"/>
      <c r="L114" s="7"/>
    </row>
    <row r="115" spans="1:12">
      <c r="A115" s="7" t="s">
        <v>141</v>
      </c>
      <c r="B115" s="7" t="s">
        <v>222</v>
      </c>
      <c r="C115" s="7" t="s">
        <v>23</v>
      </c>
      <c r="H115"/>
    </row>
    <row r="116" spans="1:12">
      <c r="A116" s="7" t="s">
        <v>141</v>
      </c>
      <c r="B116" s="7" t="s">
        <v>248</v>
      </c>
      <c r="C116" s="7" t="s">
        <v>24</v>
      </c>
      <c r="H116"/>
    </row>
  </sheetData>
  <phoneticPr fontId="2" type="noConversion"/>
  <conditionalFormatting sqref="K85:K87">
    <cfRule type="cellIs" dxfId="36" priority="1" operator="equal">
      <formula>"行動序號"</formula>
    </cfRule>
  </conditionalFormatting>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3CB62-631D-4FFF-9622-9BF141CBEA6D}">
  <sheetPr codeName="OptionSheet"/>
  <dimension ref="A1:J112"/>
  <sheetViews>
    <sheetView topLeftCell="A40" zoomScale="115" zoomScaleNormal="115" workbookViewId="0">
      <selection activeCell="A52" sqref="A52"/>
    </sheetView>
  </sheetViews>
  <sheetFormatPr defaultRowHeight="16.5"/>
  <cols>
    <col min="1" max="1" width="20.5" style="20" bestFit="1" customWidth="1"/>
    <col min="2" max="2" width="18.375" style="4" customWidth="1"/>
    <col min="3" max="3" width="16.5" style="4" customWidth="1"/>
    <col min="4" max="4" width="20.875" style="4" bestFit="1" customWidth="1"/>
    <col min="5" max="5" width="20.875" style="4" customWidth="1"/>
    <col min="6" max="6" width="20.875" style="4" bestFit="1" customWidth="1"/>
    <col min="7" max="7" width="13.875" style="4" bestFit="1" customWidth="1"/>
    <col min="8" max="10" width="18.625" style="4" bestFit="1" customWidth="1"/>
    <col min="11" max="16384" width="9" style="4"/>
  </cols>
  <sheetData>
    <row r="1" spans="1:10" s="5" customFormat="1" ht="19.5">
      <c r="A1" s="17" t="s">
        <v>27</v>
      </c>
      <c r="B1" s="6" t="s">
        <v>140</v>
      </c>
      <c r="C1" s="6" t="s">
        <v>141</v>
      </c>
      <c r="D1" s="8"/>
      <c r="E1" s="8"/>
      <c r="F1" s="8"/>
      <c r="G1" s="6"/>
      <c r="H1" s="8"/>
      <c r="I1" s="8"/>
      <c r="J1" s="8"/>
    </row>
    <row r="2" spans="1:10" ht="85.5">
      <c r="B2" s="20" t="s">
        <v>136</v>
      </c>
      <c r="C2" s="20" t="s">
        <v>134</v>
      </c>
      <c r="D2" s="20"/>
      <c r="G2" s="24" t="s">
        <v>223</v>
      </c>
    </row>
    <row r="3" spans="1:10">
      <c r="A3" s="20" t="s">
        <v>93</v>
      </c>
      <c r="B3" s="20" t="s">
        <v>137</v>
      </c>
      <c r="C3" s="20" t="s">
        <v>135</v>
      </c>
      <c r="D3" s="20"/>
      <c r="G3" s="9"/>
    </row>
    <row r="4" spans="1:10">
      <c r="A4" s="20" t="s">
        <v>101</v>
      </c>
      <c r="B4" s="20" t="s">
        <v>138</v>
      </c>
      <c r="C4" s="20" t="s">
        <v>224</v>
      </c>
      <c r="D4" s="20"/>
      <c r="G4" s="9"/>
      <c r="H4" s="18"/>
    </row>
    <row r="5" spans="1:10" ht="17.25" customHeight="1">
      <c r="A5" s="20" t="s">
        <v>99</v>
      </c>
      <c r="B5" s="20" t="s">
        <v>218</v>
      </c>
      <c r="C5" s="20" t="s">
        <v>221</v>
      </c>
      <c r="D5" s="20"/>
      <c r="G5" s="9"/>
    </row>
    <row r="6" spans="1:10">
      <c r="A6" s="20" t="s">
        <v>102</v>
      </c>
      <c r="B6" s="20" t="s">
        <v>219</v>
      </c>
      <c r="C6" s="20" t="s">
        <v>222</v>
      </c>
      <c r="D6" s="20"/>
      <c r="G6" s="9"/>
    </row>
    <row r="7" spans="1:10">
      <c r="A7" s="20" t="s">
        <v>48</v>
      </c>
      <c r="B7" s="20" t="s">
        <v>220</v>
      </c>
      <c r="C7" s="26" t="s">
        <v>248</v>
      </c>
      <c r="D7" s="20"/>
      <c r="G7" s="9"/>
    </row>
    <row r="8" spans="1:10">
      <c r="A8" s="20" t="s">
        <v>146</v>
      </c>
      <c r="B8" s="26"/>
      <c r="C8" s="20"/>
      <c r="D8" s="20"/>
      <c r="G8" s="9"/>
    </row>
    <row r="9" spans="1:10">
      <c r="A9" s="20" t="s">
        <v>110</v>
      </c>
      <c r="B9" s="20"/>
      <c r="C9" s="20"/>
      <c r="D9" s="20"/>
      <c r="G9" s="9"/>
    </row>
    <row r="10" spans="1:10">
      <c r="A10" s="20" t="s">
        <v>233</v>
      </c>
      <c r="B10" s="20"/>
      <c r="C10" s="20"/>
      <c r="D10" s="20"/>
      <c r="G10" s="9"/>
    </row>
    <row r="11" spans="1:10">
      <c r="A11" s="20" t="s">
        <v>147</v>
      </c>
      <c r="G11" s="9"/>
    </row>
    <row r="12" spans="1:10">
      <c r="A12" s="20" t="s">
        <v>45</v>
      </c>
      <c r="G12" s="9"/>
    </row>
    <row r="13" spans="1:10">
      <c r="A13" s="20" t="s">
        <v>103</v>
      </c>
      <c r="G13" s="9"/>
    </row>
    <row r="14" spans="1:10">
      <c r="A14" s="20" t="s">
        <v>104</v>
      </c>
      <c r="C14" s="9"/>
      <c r="G14" s="9"/>
    </row>
    <row r="15" spans="1:10">
      <c r="A15" s="20" t="s">
        <v>130</v>
      </c>
      <c r="G15" s="9"/>
    </row>
    <row r="16" spans="1:10">
      <c r="A16" s="20" t="s">
        <v>131</v>
      </c>
      <c r="C16"/>
      <c r="G16" s="9"/>
    </row>
    <row r="17" spans="1:7">
      <c r="A17" s="20" t="s">
        <v>148</v>
      </c>
      <c r="C17"/>
      <c r="G17" s="9"/>
    </row>
    <row r="18" spans="1:7">
      <c r="C18"/>
      <c r="G18" s="9"/>
    </row>
    <row r="19" spans="1:7">
      <c r="C19"/>
      <c r="G19" s="9"/>
    </row>
    <row r="20" spans="1:7">
      <c r="A20" s="20" t="s">
        <v>144</v>
      </c>
      <c r="C20"/>
      <c r="G20" s="9"/>
    </row>
    <row r="21" spans="1:7">
      <c r="A21" s="20" t="s">
        <v>150</v>
      </c>
      <c r="C21"/>
      <c r="G21" s="9"/>
    </row>
    <row r="22" spans="1:7">
      <c r="A22" s="20" t="s">
        <v>126</v>
      </c>
      <c r="C22"/>
      <c r="G22" s="9"/>
    </row>
    <row r="23" spans="1:7">
      <c r="A23" s="20" t="s">
        <v>127</v>
      </c>
      <c r="C23"/>
      <c r="G23" s="9"/>
    </row>
    <row r="24" spans="1:7">
      <c r="A24" s="20" t="s">
        <v>128</v>
      </c>
      <c r="C24"/>
      <c r="G24" s="9"/>
    </row>
    <row r="25" spans="1:7" s="9" customFormat="1">
      <c r="A25" s="20" t="s">
        <v>129</v>
      </c>
      <c r="C25"/>
      <c r="F25" s="4"/>
    </row>
    <row r="26" spans="1:7">
      <c r="A26" s="20" t="s">
        <v>156</v>
      </c>
      <c r="C26"/>
      <c r="G26" s="9"/>
    </row>
    <row r="27" spans="1:7">
      <c r="A27" s="20" t="s">
        <v>158</v>
      </c>
      <c r="B27" s="9"/>
      <c r="C27"/>
      <c r="G27" s="9"/>
    </row>
    <row r="28" spans="1:7">
      <c r="C28"/>
      <c r="G28" s="9"/>
    </row>
    <row r="29" spans="1:7">
      <c r="C29"/>
      <c r="G29" s="9"/>
    </row>
    <row r="30" spans="1:7">
      <c r="A30" s="20" t="s">
        <v>29</v>
      </c>
      <c r="C30"/>
      <c r="G30" s="9"/>
    </row>
    <row r="31" spans="1:7">
      <c r="A31" s="20" t="s">
        <v>118</v>
      </c>
      <c r="C31"/>
      <c r="G31" s="9"/>
    </row>
    <row r="32" spans="1:7">
      <c r="A32" s="20" t="s">
        <v>100</v>
      </c>
      <c r="C32"/>
      <c r="G32" s="9"/>
    </row>
    <row r="33" spans="1:7">
      <c r="A33" s="20" t="s">
        <v>106</v>
      </c>
      <c r="C33"/>
      <c r="G33" s="9"/>
    </row>
    <row r="34" spans="1:7">
      <c r="A34" s="20" t="s">
        <v>105</v>
      </c>
      <c r="C34"/>
      <c r="G34" s="9"/>
    </row>
    <row r="35" spans="1:7">
      <c r="A35" s="20" t="s">
        <v>46</v>
      </c>
      <c r="C35"/>
      <c r="G35" s="9"/>
    </row>
    <row r="36" spans="1:7">
      <c r="A36" s="20" t="s">
        <v>166</v>
      </c>
      <c r="C36"/>
    </row>
    <row r="37" spans="1:7">
      <c r="A37" s="20" t="s">
        <v>168</v>
      </c>
      <c r="C37"/>
      <c r="G37" s="9"/>
    </row>
    <row r="38" spans="1:7">
      <c r="C38"/>
      <c r="G38" s="9"/>
    </row>
    <row r="39" spans="1:7">
      <c r="C39"/>
      <c r="G39" s="9"/>
    </row>
    <row r="40" spans="1:7">
      <c r="A40" s="20" t="s">
        <v>35</v>
      </c>
      <c r="C40"/>
      <c r="G40" s="9"/>
    </row>
    <row r="41" spans="1:7">
      <c r="A41" s="20" t="s">
        <v>97</v>
      </c>
      <c r="C41"/>
      <c r="G41" s="9"/>
    </row>
    <row r="42" spans="1:7">
      <c r="A42" s="20" t="s">
        <v>107</v>
      </c>
      <c r="C42"/>
      <c r="G42" s="9"/>
    </row>
    <row r="43" spans="1:7">
      <c r="A43" s="26" t="s">
        <v>225</v>
      </c>
      <c r="C43"/>
      <c r="G43" s="9"/>
    </row>
    <row r="44" spans="1:7">
      <c r="C44"/>
      <c r="G44" s="9"/>
    </row>
    <row r="45" spans="1:7">
      <c r="C45"/>
      <c r="G45" s="9"/>
    </row>
    <row r="46" spans="1:7">
      <c r="A46" s="20" t="s">
        <v>98</v>
      </c>
      <c r="C46"/>
      <c r="G46" s="9"/>
    </row>
    <row r="47" spans="1:7">
      <c r="A47" s="20" t="s">
        <v>116</v>
      </c>
      <c r="C47"/>
      <c r="G47" s="9"/>
    </row>
    <row r="48" spans="1:7">
      <c r="A48" s="20" t="s">
        <v>133</v>
      </c>
      <c r="C48"/>
      <c r="G48" s="9"/>
    </row>
    <row r="49" spans="1:8">
      <c r="A49" s="20" t="s">
        <v>176</v>
      </c>
      <c r="C49"/>
      <c r="G49" s="9"/>
    </row>
    <row r="50" spans="1:8">
      <c r="A50" s="27" t="s">
        <v>244</v>
      </c>
      <c r="C50"/>
      <c r="G50" s="9"/>
    </row>
    <row r="51" spans="1:8">
      <c r="A51" s="27" t="s">
        <v>249</v>
      </c>
      <c r="C51"/>
      <c r="G51" s="9"/>
    </row>
    <row r="52" spans="1:8">
      <c r="A52" s="27"/>
      <c r="C52"/>
      <c r="G52" s="9"/>
    </row>
    <row r="53" spans="1:8">
      <c r="C53"/>
      <c r="G53" s="9"/>
    </row>
    <row r="54" spans="1:8">
      <c r="A54" s="20" t="s">
        <v>31</v>
      </c>
      <c r="C54"/>
      <c r="G54" s="9"/>
      <c r="H54" s="10"/>
    </row>
    <row r="55" spans="1:8">
      <c r="A55" s="20" t="s">
        <v>111</v>
      </c>
      <c r="C55"/>
      <c r="G55" s="9"/>
      <c r="H55" s="11"/>
    </row>
    <row r="56" spans="1:8">
      <c r="A56" s="20" t="s">
        <v>112</v>
      </c>
      <c r="C56"/>
      <c r="G56" s="9"/>
      <c r="H56" s="11"/>
    </row>
    <row r="57" spans="1:8">
      <c r="A57" s="28" t="s">
        <v>239</v>
      </c>
      <c r="C57"/>
      <c r="G57" s="9"/>
    </row>
    <row r="58" spans="1:8">
      <c r="A58" s="20" t="s">
        <v>132</v>
      </c>
      <c r="G58" s="9"/>
    </row>
    <row r="59" spans="1:8">
      <c r="A59" s="20" t="s">
        <v>143</v>
      </c>
      <c r="G59" s="9"/>
    </row>
    <row r="60" spans="1:8">
      <c r="A60" s="20" t="s">
        <v>114</v>
      </c>
      <c r="G60" s="9"/>
    </row>
    <row r="61" spans="1:8">
      <c r="A61" s="27" t="s">
        <v>235</v>
      </c>
      <c r="G61" s="9"/>
    </row>
    <row r="62" spans="1:8">
      <c r="A62" s="27" t="s">
        <v>237</v>
      </c>
      <c r="G62" s="9"/>
    </row>
    <row r="63" spans="1:8">
      <c r="A63" s="27" t="s">
        <v>244</v>
      </c>
      <c r="G63" s="9"/>
    </row>
    <row r="64" spans="1:8">
      <c r="A64" s="27" t="s">
        <v>247</v>
      </c>
      <c r="G64" s="9"/>
    </row>
    <row r="65" spans="1:7">
      <c r="A65" s="27"/>
      <c r="G65" s="9"/>
    </row>
    <row r="66" spans="1:7">
      <c r="G66" s="9"/>
    </row>
    <row r="67" spans="1:7">
      <c r="A67" s="20" t="s">
        <v>30</v>
      </c>
      <c r="G67" s="9"/>
    </row>
    <row r="68" spans="1:7">
      <c r="A68" s="20" t="s">
        <v>115</v>
      </c>
      <c r="C68"/>
      <c r="G68" s="9"/>
    </row>
    <row r="69" spans="1:7">
      <c r="A69" s="20" t="s">
        <v>108</v>
      </c>
      <c r="C69"/>
      <c r="G69" s="9"/>
    </row>
    <row r="70" spans="1:7">
      <c r="A70" s="20" t="s">
        <v>109</v>
      </c>
      <c r="G70" s="9"/>
    </row>
    <row r="71" spans="1:7">
      <c r="G71" s="9"/>
    </row>
    <row r="72" spans="1:7">
      <c r="G72" s="9"/>
    </row>
    <row r="73" spans="1:7">
      <c r="A73" s="20" t="s">
        <v>189</v>
      </c>
    </row>
    <row r="74" spans="1:7">
      <c r="A74" s="20" t="s">
        <v>47</v>
      </c>
    </row>
    <row r="75" spans="1:7">
      <c r="A75" s="20" t="s">
        <v>117</v>
      </c>
    </row>
    <row r="76" spans="1:7">
      <c r="A76" s="20" t="s">
        <v>125</v>
      </c>
      <c r="G76" s="9"/>
    </row>
    <row r="77" spans="1:7">
      <c r="A77" s="20" t="s">
        <v>194</v>
      </c>
      <c r="G77" s="9"/>
    </row>
    <row r="78" spans="1:7">
      <c r="A78" s="20" t="s">
        <v>196</v>
      </c>
      <c r="G78" s="9"/>
    </row>
    <row r="79" spans="1:7">
      <c r="A79" s="20" t="s">
        <v>198</v>
      </c>
    </row>
    <row r="80" spans="1:7">
      <c r="A80" s="20" t="s">
        <v>200</v>
      </c>
    </row>
    <row r="83" spans="1:1">
      <c r="A83" s="20" t="s">
        <v>119</v>
      </c>
    </row>
    <row r="84" spans="1:1">
      <c r="A84" s="20" t="s">
        <v>120</v>
      </c>
    </row>
    <row r="85" spans="1:1">
      <c r="A85" s="20" t="s">
        <v>121</v>
      </c>
    </row>
    <row r="86" spans="1:1">
      <c r="A86" s="20" t="s">
        <v>122</v>
      </c>
    </row>
    <row r="87" spans="1:1">
      <c r="A87" s="20" t="s">
        <v>123</v>
      </c>
    </row>
    <row r="88" spans="1:1">
      <c r="A88" s="20" t="s">
        <v>124</v>
      </c>
    </row>
    <row r="91" spans="1:1">
      <c r="A91" s="20" t="s">
        <v>208</v>
      </c>
    </row>
    <row r="92" spans="1:1">
      <c r="A92" s="20" t="s">
        <v>210</v>
      </c>
    </row>
    <row r="93" spans="1:1">
      <c r="A93" s="20" t="s">
        <v>212</v>
      </c>
    </row>
    <row r="94" spans="1:1">
      <c r="A94" s="20" t="s">
        <v>214</v>
      </c>
    </row>
    <row r="95" spans="1:1">
      <c r="A95" s="20" t="s">
        <v>216</v>
      </c>
    </row>
    <row r="112" spans="2:2">
      <c r="B112" s="9"/>
    </row>
  </sheetData>
  <phoneticPr fontId="2" type="noConversion"/>
  <conditionalFormatting sqref="D1:F1">
    <cfRule type="duplicateValues" dxfId="35" priority="32"/>
  </conditionalFormatting>
  <conditionalFormatting sqref="G1">
    <cfRule type="duplicateValues" dxfId="34" priority="31"/>
  </conditionalFormatting>
  <conditionalFormatting sqref="H1:J1">
    <cfRule type="duplicateValues" dxfId="33" priority="30"/>
  </conditionalFormatting>
  <conditionalFormatting sqref="F1">
    <cfRule type="duplicateValues" dxfId="32" priority="29"/>
  </conditionalFormatting>
  <conditionalFormatting sqref="D1:E1">
    <cfRule type="duplicateValues" dxfId="31" priority="28"/>
  </conditionalFormatting>
  <conditionalFormatting sqref="G28">
    <cfRule type="cellIs" dxfId="30" priority="27" operator="equal">
      <formula>"行動序號"</formula>
    </cfRule>
  </conditionalFormatting>
  <conditionalFormatting sqref="G29">
    <cfRule type="cellIs" dxfId="29" priority="26" operator="equal">
      <formula>"行動序號"</formula>
    </cfRule>
  </conditionalFormatting>
  <conditionalFormatting sqref="G46">
    <cfRule type="cellIs" dxfId="28" priority="25" operator="equal">
      <formula>"行動序號"</formula>
    </cfRule>
  </conditionalFormatting>
  <conditionalFormatting sqref="G47">
    <cfRule type="cellIs" dxfId="27" priority="24" operator="equal">
      <formula>"行動序號"</formula>
    </cfRule>
  </conditionalFormatting>
  <conditionalFormatting sqref="G30:G31">
    <cfRule type="cellIs" dxfId="26" priority="23" operator="equal">
      <formula>"行動序號"</formula>
    </cfRule>
  </conditionalFormatting>
  <conditionalFormatting sqref="G32">
    <cfRule type="cellIs" dxfId="25" priority="22" operator="equal">
      <formula>"行動序號"</formula>
    </cfRule>
  </conditionalFormatting>
  <conditionalFormatting sqref="G58:G59">
    <cfRule type="cellIs" dxfId="24" priority="21" operator="equal">
      <formula>"行動序號"</formula>
    </cfRule>
  </conditionalFormatting>
  <conditionalFormatting sqref="G54:G57">
    <cfRule type="cellIs" dxfId="23" priority="20" operator="equal">
      <formula>"行動序號"</formula>
    </cfRule>
  </conditionalFormatting>
  <conditionalFormatting sqref="G17">
    <cfRule type="cellIs" dxfId="22" priority="19" operator="equal">
      <formula>"行動序號"</formula>
    </cfRule>
  </conditionalFormatting>
  <conditionalFormatting sqref="G60:G65">
    <cfRule type="cellIs" dxfId="21" priority="18" operator="equal">
      <formula>"行動序號"</formula>
    </cfRule>
  </conditionalFormatting>
  <conditionalFormatting sqref="G66:G67">
    <cfRule type="cellIs" dxfId="20" priority="17" operator="equal">
      <formula>"行動序號"</formula>
    </cfRule>
  </conditionalFormatting>
  <conditionalFormatting sqref="G76:G78">
    <cfRule type="cellIs" dxfId="19" priority="16" operator="equal">
      <formula>"行動序號"</formula>
    </cfRule>
  </conditionalFormatting>
  <conditionalFormatting sqref="A99">
    <cfRule type="cellIs" dxfId="18" priority="15" operator="equal">
      <formula>"行動序號"</formula>
    </cfRule>
  </conditionalFormatting>
  <conditionalFormatting sqref="A100">
    <cfRule type="cellIs" dxfId="17" priority="14" operator="equal">
      <formula>"行動序號"</formula>
    </cfRule>
  </conditionalFormatting>
  <conditionalFormatting sqref="A117">
    <cfRule type="cellIs" dxfId="16" priority="13" operator="equal">
      <formula>"行動序號"</formula>
    </cfRule>
  </conditionalFormatting>
  <conditionalFormatting sqref="A118">
    <cfRule type="cellIs" dxfId="15" priority="12" operator="equal">
      <formula>"行動序號"</formula>
    </cfRule>
  </conditionalFormatting>
  <conditionalFormatting sqref="A101:A102">
    <cfRule type="cellIs" dxfId="14" priority="11" operator="equal">
      <formula>"行動序號"</formula>
    </cfRule>
  </conditionalFormatting>
  <conditionalFormatting sqref="A103">
    <cfRule type="cellIs" dxfId="13" priority="10" operator="equal">
      <formula>"行動序號"</formula>
    </cfRule>
  </conditionalFormatting>
  <conditionalFormatting sqref="A127:A128">
    <cfRule type="cellIs" dxfId="12" priority="9" operator="equal">
      <formula>"行動序號"</formula>
    </cfRule>
  </conditionalFormatting>
  <conditionalFormatting sqref="A123:A126">
    <cfRule type="cellIs" dxfId="11" priority="8" operator="equal">
      <formula>"行動序號"</formula>
    </cfRule>
  </conditionalFormatting>
  <conditionalFormatting sqref="A129:A130">
    <cfRule type="cellIs" dxfId="10" priority="7" operator="equal">
      <formula>"行動序號"</formula>
    </cfRule>
  </conditionalFormatting>
  <conditionalFormatting sqref="A131:A132">
    <cfRule type="cellIs" dxfId="9" priority="6" operator="equal">
      <formula>"行動序號"</formula>
    </cfRule>
  </conditionalFormatting>
  <conditionalFormatting sqref="A141:A143">
    <cfRule type="cellIs" dxfId="8" priority="5" operator="equal">
      <formula>"行動序號"</formula>
    </cfRule>
  </conditionalFormatting>
  <conditionalFormatting sqref="A112:A1048576 A86:A87 A89:A95 A99:A110">
    <cfRule type="duplicateValues" dxfId="7" priority="4"/>
  </conditionalFormatting>
  <conditionalFormatting sqref="A111">
    <cfRule type="duplicateValues" dxfId="6" priority="3"/>
  </conditionalFormatting>
  <conditionalFormatting sqref="A72:A73">
    <cfRule type="cellIs" dxfId="5" priority="2" operator="equal">
      <formula>"行動序號"</formula>
    </cfRule>
  </conditionalFormatting>
  <conditionalFormatting sqref="A96:A97">
    <cfRule type="cellIs" dxfId="4" priority="1" operator="equal">
      <formula>"行動序號"</formula>
    </cfRule>
  </conditionalFormatting>
  <conditionalFormatting sqref="A1">
    <cfRule type="duplicateValues" dxfId="3" priority="33"/>
  </conditionalFormatting>
  <conditionalFormatting sqref="B112">
    <cfRule type="duplicateValues" dxfId="2" priority="34"/>
  </conditionalFormatting>
  <conditionalFormatting sqref="A99:A1048576 A86:A87 A89:A95">
    <cfRule type="duplicateValues" dxfId="1" priority="35"/>
  </conditionalFormatting>
  <conditionalFormatting sqref="A98">
    <cfRule type="duplicateValues" dxfId="0" priority="36"/>
  </conditionalFormatting>
  <dataValidations count="1">
    <dataValidation type="list" allowBlank="1" showInputMessage="1" showErrorMessage="1" sqref="A99 D25:E25 J25:XFD25 G50:G52 G28 A121 B25 B27" xr:uid="{302AD1EA-3FDD-434F-A434-F987D54ED605}">
      <formula1>_OPTION_</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4B4A9-0215-4B0C-ABCD-10B4F7DB9C06}">
  <sheetPr codeName="ParamTitleSheet"/>
  <dimension ref="A1:C15"/>
  <sheetViews>
    <sheetView workbookViewId="0">
      <selection activeCell="G19" sqref="G19"/>
    </sheetView>
  </sheetViews>
  <sheetFormatPr defaultRowHeight="16.5"/>
  <cols>
    <col min="1" max="2" width="18.375" bestFit="1" customWidth="1"/>
    <col min="3" max="3" width="27.25" bestFit="1" customWidth="1"/>
    <col min="4" max="4" width="16.125" bestFit="1" customWidth="1"/>
    <col min="5" max="5" width="11.625" bestFit="1" customWidth="1"/>
  </cols>
  <sheetData>
    <row r="1" spans="1:3" s="5" customFormat="1">
      <c r="A1" s="5" t="s">
        <v>1</v>
      </c>
      <c r="B1" s="5" t="s">
        <v>2</v>
      </c>
      <c r="C1" s="5" t="s">
        <v>3</v>
      </c>
    </row>
    <row r="2" spans="1:3">
      <c r="B2" s="4"/>
    </row>
    <row r="3" spans="1:3">
      <c r="B3" s="4"/>
    </row>
    <row r="4" spans="1:3">
      <c r="B4" s="4"/>
    </row>
    <row r="5" spans="1:3">
      <c r="B5" s="4"/>
    </row>
    <row r="6" spans="1:3">
      <c r="B6" s="4"/>
    </row>
    <row r="7" spans="1:3">
      <c r="B7" s="4"/>
    </row>
    <row r="8" spans="1:3">
      <c r="B8" s="4"/>
    </row>
    <row r="9" spans="1:3">
      <c r="B9" s="4"/>
    </row>
    <row r="10" spans="1:3">
      <c r="B10" s="4"/>
    </row>
    <row r="11" spans="1:3">
      <c r="B11" s="4"/>
    </row>
    <row r="12" spans="1:3">
      <c r="B12" s="4"/>
    </row>
    <row r="13" spans="1:3">
      <c r="B13" s="4"/>
    </row>
    <row r="14" spans="1:3">
      <c r="B14" s="4"/>
    </row>
    <row r="15" spans="1:3">
      <c r="B15" s="4"/>
    </row>
  </sheetData>
  <phoneticPr fontId="2" type="noConversion"/>
  <pageMargins left="0.75" right="0.75" top="1" bottom="1" header="0.5" footer="0.5"/>
  <pageSetup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58BC-CFB6-412A-852E-B46C8C8DCC46}">
  <sheetPr codeName="OutputSheet"/>
  <dimension ref="A1:A2"/>
  <sheetViews>
    <sheetView workbookViewId="0">
      <selection activeCell="G19" sqref="G19"/>
    </sheetView>
  </sheetViews>
  <sheetFormatPr defaultRowHeight="16.5"/>
  <cols>
    <col min="1" max="1" width="64.625" customWidth="1"/>
  </cols>
  <sheetData>
    <row r="1" spans="1:1">
      <c r="A1" s="1" t="s">
        <v>11</v>
      </c>
    </row>
    <row r="2" spans="1:1">
      <c r="A2" t="s">
        <v>20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CAE96-C386-4C3C-8660-ECA463FD8C5A}">
  <sheetPr codeName="HelpSheet"/>
  <dimension ref="A1:A15"/>
  <sheetViews>
    <sheetView tabSelected="1" topLeftCell="A4" workbookViewId="0">
      <selection activeCell="G19" sqref="G19"/>
    </sheetView>
  </sheetViews>
  <sheetFormatPr defaultRowHeight="16.5"/>
  <cols>
    <col min="1" max="1" width="146.25" customWidth="1"/>
  </cols>
  <sheetData>
    <row r="1" spans="1:1" ht="66">
      <c r="A1" s="3" t="s">
        <v>4</v>
      </c>
    </row>
    <row r="2" spans="1:1" ht="99">
      <c r="A2" s="3" t="s">
        <v>6</v>
      </c>
    </row>
    <row r="3" spans="1:1" ht="49.5">
      <c r="A3" s="3" t="s">
        <v>5</v>
      </c>
    </row>
    <row r="4" spans="1:1" ht="82.5">
      <c r="A4" s="3" t="s">
        <v>14</v>
      </c>
    </row>
    <row r="5" spans="1:1" ht="82.5">
      <c r="A5" s="3" t="s">
        <v>7</v>
      </c>
    </row>
    <row r="6" spans="1:1" ht="66">
      <c r="A6" s="3" t="s">
        <v>12</v>
      </c>
    </row>
    <row r="7" spans="1:1">
      <c r="A7" s="2"/>
    </row>
    <row r="8" spans="1:1">
      <c r="A8" t="s">
        <v>0</v>
      </c>
    </row>
    <row r="9" spans="1:1">
      <c r="A9" t="s">
        <v>16</v>
      </c>
    </row>
    <row r="10" spans="1:1">
      <c r="A10" s="2" t="s">
        <v>8</v>
      </c>
    </row>
    <row r="11" spans="1:1" ht="82.5">
      <c r="A11" s="2" t="s">
        <v>19</v>
      </c>
    </row>
    <row r="12" spans="1:1">
      <c r="A12" s="2" t="s">
        <v>15</v>
      </c>
    </row>
    <row r="13" spans="1:1" ht="82.5">
      <c r="A13" s="2" t="s">
        <v>13</v>
      </c>
    </row>
    <row r="14" spans="1:1">
      <c r="A14" s="2" t="s">
        <v>10</v>
      </c>
    </row>
    <row r="15" spans="1:1">
      <c r="A15" t="s">
        <v>9</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stage7_5a</vt:lpstr>
      <vt:lpstr>#ALIAS</vt:lpstr>
      <vt:lpstr>#DEFINE</vt:lpstr>
      <vt:lpstr>#OPTION</vt:lpstr>
      <vt:lpstr>#PARAM</vt:lpstr>
      <vt:lpstr>#OUTPUT</vt:lpstr>
      <vt:lpstr>#使用說明</vt:lpstr>
      <vt:lpstr>'#OPTION'!_OPTION_</vt:lpstr>
    </vt:vector>
  </TitlesOfParts>
  <Company>CMT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霆豫 韓</cp:lastModifiedBy>
  <dcterms:created xsi:type="dcterms:W3CDTF">2015-05-05T13:05:01Z</dcterms:created>
  <dcterms:modified xsi:type="dcterms:W3CDTF">2025-04-16T06:38:24Z</dcterms:modified>
</cp:coreProperties>
</file>