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F6DE0A5D-9190-4C70-8E80-06AC0F8A40B6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7bigShot1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854" i="1" l="1"/>
  <c r="E853" i="1"/>
  <c r="E852" i="1"/>
  <c r="E851" i="1"/>
  <c r="E850" i="1"/>
  <c r="E849" i="1"/>
  <c r="E848" i="1"/>
  <c r="E847" i="1"/>
  <c r="E846" i="1"/>
  <c r="E845" i="1"/>
  <c r="E844" i="1"/>
  <c r="E843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D101" i="1"/>
  <c r="E100" i="1"/>
  <c r="E99" i="1"/>
  <c r="E98" i="1"/>
  <c r="E97" i="1"/>
  <c r="E96" i="1"/>
  <c r="E95" i="1"/>
  <c r="E94" i="1"/>
  <c r="E93" i="1"/>
  <c r="E92" i="1"/>
  <c r="E91" i="1"/>
  <c r="O90" i="1" a="1"/>
  <c r="O90" i="1" s="1"/>
  <c r="E90" i="1"/>
  <c r="O89" i="1"/>
  <c r="E89" i="1"/>
  <c r="D88" i="1"/>
  <c r="B88" i="1"/>
  <c r="G95" i="1" s="1"/>
  <c r="O95" i="1" s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D9" i="1"/>
  <c r="B9" i="1" s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A74" i="1"/>
  <c r="D75" i="1"/>
  <c r="O76" i="1" s="1"/>
  <c r="E76" i="1"/>
  <c r="E77" i="1"/>
  <c r="E78" i="1"/>
  <c r="E79" i="1"/>
  <c r="O102" i="1" l="1"/>
  <c r="D114" i="1"/>
  <c r="O96" i="1"/>
  <c r="B101" i="1"/>
  <c r="C101" i="1"/>
  <c r="O110" i="1" s="1"/>
  <c r="C88" i="1"/>
  <c r="O97" i="1" s="1"/>
  <c r="D127" i="1"/>
  <c r="O10" i="1"/>
  <c r="D24" i="1"/>
  <c r="O25" i="1" s="1"/>
  <c r="B24" i="1"/>
  <c r="D39" i="1"/>
  <c r="D54" i="1" s="1"/>
  <c r="B75" i="1"/>
  <c r="C9" i="1"/>
  <c r="G22" i="1" s="1"/>
  <c r="O22" i="1" s="1"/>
  <c r="B127" i="1" l="1"/>
  <c r="O128" i="1"/>
  <c r="B114" i="1"/>
  <c r="C114" i="1" s="1"/>
  <c r="O123" i="1" s="1"/>
  <c r="O115" i="1"/>
  <c r="D140" i="1"/>
  <c r="O109" i="1"/>
  <c r="G108" i="1"/>
  <c r="O108" i="1" s="1"/>
  <c r="O103" i="1" a="1"/>
  <c r="O103" i="1" s="1"/>
  <c r="O77" i="1" a="1"/>
  <c r="O77" i="1" s="1"/>
  <c r="O83" i="1"/>
  <c r="O55" i="1"/>
  <c r="B54" i="1"/>
  <c r="O56" i="1" s="1"/>
  <c r="O40" i="1"/>
  <c r="B39" i="1"/>
  <c r="O41" i="1" s="1"/>
  <c r="C24" i="1"/>
  <c r="G37" i="1" s="1"/>
  <c r="O37" i="1" s="1"/>
  <c r="C75" i="1"/>
  <c r="O11" i="1"/>
  <c r="E86" i="1"/>
  <c r="E81" i="1"/>
  <c r="E83" i="1"/>
  <c r="E85" i="1"/>
  <c r="G134" i="1" l="1"/>
  <c r="O134" i="1" s="1"/>
  <c r="O135" i="1"/>
  <c r="O129" i="1" a="1"/>
  <c r="O129" i="1" s="1"/>
  <c r="C127" i="1"/>
  <c r="O136" i="1" s="1"/>
  <c r="D153" i="1"/>
  <c r="O141" i="1"/>
  <c r="B140" i="1"/>
  <c r="O116" i="1" a="1"/>
  <c r="O116" i="1" s="1"/>
  <c r="G121" i="1"/>
  <c r="O121" i="1" s="1"/>
  <c r="O122" i="1"/>
  <c r="O26" i="1"/>
  <c r="O47" i="1"/>
  <c r="O45" i="1"/>
  <c r="O43" i="1"/>
  <c r="O28" i="1"/>
  <c r="O32" i="1"/>
  <c r="O30" i="1"/>
  <c r="C54" i="1"/>
  <c r="G67" i="1" s="1"/>
  <c r="O67" i="1" s="1"/>
  <c r="C39" i="1"/>
  <c r="G52" i="1" s="1"/>
  <c r="O52" i="1" s="1"/>
  <c r="O62" i="1"/>
  <c r="O58" i="1"/>
  <c r="O60" i="1"/>
  <c r="O15" i="1"/>
  <c r="O13" i="1"/>
  <c r="O17" i="1"/>
  <c r="G82" i="1"/>
  <c r="O82" i="1" s="1"/>
  <c r="E87" i="1"/>
  <c r="E84" i="1"/>
  <c r="E82" i="1"/>
  <c r="E80" i="1"/>
  <c r="A8" i="1"/>
  <c r="O148" i="1" l="1"/>
  <c r="G147" i="1"/>
  <c r="O147" i="1" s="1"/>
  <c r="O142" i="1" a="1"/>
  <c r="O142" i="1" s="1"/>
  <c r="C140" i="1"/>
  <c r="O149" i="1" s="1"/>
  <c r="D166" i="1"/>
  <c r="B153" i="1"/>
  <c r="O154" i="1"/>
  <c r="O84" i="1"/>
  <c r="O155" i="1" l="1" a="1"/>
  <c r="O155" i="1" s="1"/>
  <c r="O161" i="1"/>
  <c r="G160" i="1"/>
  <c r="O160" i="1" s="1"/>
  <c r="D179" i="1"/>
  <c r="B166" i="1"/>
  <c r="C166" i="1" s="1"/>
  <c r="O175" i="1" s="1"/>
  <c r="O167" i="1"/>
  <c r="D192" i="1"/>
  <c r="C153" i="1"/>
  <c r="O162" i="1" s="1"/>
  <c r="B192" i="1" l="1"/>
  <c r="C192" i="1" s="1"/>
  <c r="O201" i="1" s="1"/>
  <c r="O193" i="1"/>
  <c r="O180" i="1"/>
  <c r="B179" i="1"/>
  <c r="D205" i="1"/>
  <c r="G173" i="1"/>
  <c r="O173" i="1" s="1"/>
  <c r="O168" i="1" a="1"/>
  <c r="O168" i="1" s="1"/>
  <c r="O174" i="1"/>
  <c r="O187" i="1" l="1"/>
  <c r="O181" i="1" a="1"/>
  <c r="O181" i="1" s="1"/>
  <c r="G186" i="1"/>
  <c r="O186" i="1" s="1"/>
  <c r="C179" i="1"/>
  <c r="O188" i="1" s="1"/>
  <c r="O194" i="1" a="1"/>
  <c r="O194" i="1" s="1"/>
  <c r="O200" i="1"/>
  <c r="G199" i="1"/>
  <c r="O199" i="1" s="1"/>
  <c r="B205" i="1"/>
  <c r="O206" i="1"/>
  <c r="D218" i="1"/>
  <c r="G212" i="1" l="1"/>
  <c r="O212" i="1" s="1"/>
  <c r="O207" i="1" a="1"/>
  <c r="O207" i="1" s="1"/>
  <c r="O213" i="1"/>
  <c r="O219" i="1"/>
  <c r="B218" i="1"/>
  <c r="C218" i="1" s="1"/>
  <c r="O227" i="1" s="1"/>
  <c r="D231" i="1"/>
  <c r="C205" i="1"/>
  <c r="O214" i="1" s="1"/>
  <c r="O226" i="1" l="1"/>
  <c r="G225" i="1"/>
  <c r="O225" i="1" s="1"/>
  <c r="O220" i="1" a="1"/>
  <c r="O220" i="1" s="1"/>
  <c r="B231" i="1"/>
  <c r="O232" i="1"/>
  <c r="D244" i="1"/>
  <c r="O233" i="1" l="1" a="1"/>
  <c r="O233" i="1" s="1"/>
  <c r="G238" i="1"/>
  <c r="O238" i="1" s="1"/>
  <c r="O239" i="1"/>
  <c r="C231" i="1"/>
  <c r="O240" i="1" s="1"/>
  <c r="C244" i="1"/>
  <c r="O253" i="1" s="1"/>
  <c r="B244" i="1"/>
  <c r="O245" i="1"/>
  <c r="D257" i="1"/>
  <c r="O246" i="1" l="1" a="1"/>
  <c r="O246" i="1" s="1"/>
  <c r="G251" i="1"/>
  <c r="O251" i="1" s="1"/>
  <c r="O252" i="1"/>
  <c r="O258" i="1"/>
  <c r="B257" i="1"/>
  <c r="D270" i="1"/>
  <c r="O265" i="1" l="1"/>
  <c r="O259" i="1" a="1"/>
  <c r="O259" i="1" s="1"/>
  <c r="G264" i="1"/>
  <c r="O264" i="1" s="1"/>
  <c r="C257" i="1"/>
  <c r="O266" i="1" s="1"/>
  <c r="B270" i="1"/>
  <c r="O271" i="1"/>
  <c r="D283" i="1"/>
  <c r="O272" i="1" l="1" a="1"/>
  <c r="O272" i="1" s="1"/>
  <c r="O278" i="1"/>
  <c r="G277" i="1"/>
  <c r="O277" i="1" s="1"/>
  <c r="C270" i="1"/>
  <c r="O279" i="1" s="1"/>
  <c r="B283" i="1"/>
  <c r="C283" i="1"/>
  <c r="O292" i="1" s="1"/>
  <c r="O284" i="1"/>
  <c r="D296" i="1"/>
  <c r="B296" i="1" l="1"/>
  <c r="O297" i="1"/>
  <c r="D309" i="1"/>
  <c r="G290" i="1"/>
  <c r="O290" i="1" s="1"/>
  <c r="O291" i="1"/>
  <c r="O285" i="1" a="1"/>
  <c r="O285" i="1" s="1"/>
  <c r="O310" i="1" l="1"/>
  <c r="B309" i="1"/>
  <c r="D322" i="1"/>
  <c r="G303" i="1"/>
  <c r="O303" i="1" s="1"/>
  <c r="O298" i="1" a="1"/>
  <c r="O298" i="1" s="1"/>
  <c r="O304" i="1"/>
  <c r="C296" i="1"/>
  <c r="O305" i="1" s="1"/>
  <c r="O317" i="1" l="1"/>
  <c r="G316" i="1"/>
  <c r="O316" i="1" s="1"/>
  <c r="O311" i="1" a="1"/>
  <c r="O311" i="1" s="1"/>
  <c r="B322" i="1"/>
  <c r="O323" i="1"/>
  <c r="D335" i="1"/>
  <c r="C309" i="1"/>
  <c r="O318" i="1" s="1"/>
  <c r="G329" i="1" l="1"/>
  <c r="O329" i="1" s="1"/>
  <c r="O324" i="1" a="1"/>
  <c r="O324" i="1" s="1"/>
  <c r="O330" i="1"/>
  <c r="C322" i="1"/>
  <c r="O331" i="1" s="1"/>
  <c r="B335" i="1"/>
  <c r="O336" i="1"/>
  <c r="D348" i="1"/>
  <c r="G342" i="1" l="1"/>
  <c r="O342" i="1" s="1"/>
  <c r="O337" i="1" a="1"/>
  <c r="O337" i="1" s="1"/>
  <c r="O343" i="1"/>
  <c r="C335" i="1"/>
  <c r="O344" i="1" s="1"/>
  <c r="O349" i="1"/>
  <c r="C348" i="1"/>
  <c r="O357" i="1" s="1"/>
  <c r="B348" i="1"/>
  <c r="D361" i="1"/>
  <c r="B361" i="1" l="1"/>
  <c r="O362" i="1"/>
  <c r="D374" i="1"/>
  <c r="O356" i="1"/>
  <c r="O350" i="1" a="1"/>
  <c r="O350" i="1" s="1"/>
  <c r="G355" i="1"/>
  <c r="O355" i="1" s="1"/>
  <c r="G368" i="1" l="1"/>
  <c r="O368" i="1" s="1"/>
  <c r="O363" i="1" a="1"/>
  <c r="O363" i="1" s="1"/>
  <c r="O369" i="1"/>
  <c r="O375" i="1"/>
  <c r="B374" i="1"/>
  <c r="C374" i="1" s="1"/>
  <c r="O383" i="1" s="1"/>
  <c r="D387" i="1"/>
  <c r="C361" i="1"/>
  <c r="O370" i="1" s="1"/>
  <c r="G381" i="1" l="1"/>
  <c r="O381" i="1" s="1"/>
  <c r="O382" i="1"/>
  <c r="O376" i="1" a="1"/>
  <c r="O376" i="1" s="1"/>
  <c r="B387" i="1"/>
  <c r="C387" i="1" s="1"/>
  <c r="O396" i="1" s="1"/>
  <c r="O388" i="1"/>
  <c r="D400" i="1"/>
  <c r="O389" i="1" l="1" a="1"/>
  <c r="O389" i="1" s="1"/>
  <c r="G394" i="1"/>
  <c r="O394" i="1" s="1"/>
  <c r="O395" i="1"/>
  <c r="O401" i="1"/>
  <c r="B400" i="1"/>
  <c r="C400" i="1" s="1"/>
  <c r="O409" i="1" s="1"/>
  <c r="D413" i="1"/>
  <c r="G407" i="1" l="1"/>
  <c r="O407" i="1" s="1"/>
  <c r="O402" i="1" a="1"/>
  <c r="O402" i="1" s="1"/>
  <c r="O408" i="1"/>
  <c r="O414" i="1"/>
  <c r="B413" i="1"/>
  <c r="D426" i="1"/>
  <c r="G420" i="1" l="1"/>
  <c r="O420" i="1" s="1"/>
  <c r="O421" i="1"/>
  <c r="O415" i="1" a="1"/>
  <c r="O415" i="1" s="1"/>
  <c r="C413" i="1"/>
  <c r="O422" i="1" s="1"/>
  <c r="B426" i="1"/>
  <c r="O427" i="1"/>
  <c r="D439" i="1"/>
  <c r="O428" i="1" l="1" a="1"/>
  <c r="O428" i="1" s="1"/>
  <c r="G433" i="1"/>
  <c r="O433" i="1" s="1"/>
  <c r="O434" i="1"/>
  <c r="B439" i="1"/>
  <c r="C439" i="1" s="1"/>
  <c r="O448" i="1" s="1"/>
  <c r="O440" i="1"/>
  <c r="D452" i="1"/>
  <c r="C426" i="1"/>
  <c r="O435" i="1" s="1"/>
  <c r="G446" i="1" l="1"/>
  <c r="O446" i="1" s="1"/>
  <c r="O447" i="1"/>
  <c r="O441" i="1" a="1"/>
  <c r="O441" i="1" s="1"/>
  <c r="O453" i="1"/>
  <c r="B452" i="1"/>
  <c r="D465" i="1"/>
  <c r="G459" i="1" l="1"/>
  <c r="O459" i="1" s="1"/>
  <c r="O460" i="1"/>
  <c r="O454" i="1" a="1"/>
  <c r="O454" i="1" s="1"/>
  <c r="C452" i="1"/>
  <c r="O461" i="1" s="1"/>
  <c r="B465" i="1"/>
  <c r="C465" i="1" s="1"/>
  <c r="O474" i="1" s="1"/>
  <c r="O466" i="1"/>
  <c r="D478" i="1"/>
  <c r="B478" i="1" l="1"/>
  <c r="O479" i="1"/>
  <c r="D491" i="1"/>
  <c r="O467" i="1" a="1"/>
  <c r="O467" i="1" s="1"/>
  <c r="O473" i="1"/>
  <c r="G472" i="1"/>
  <c r="O472" i="1" s="1"/>
  <c r="O492" i="1" l="1"/>
  <c r="B491" i="1"/>
  <c r="D504" i="1"/>
  <c r="G485" i="1"/>
  <c r="O485" i="1" s="1"/>
  <c r="O480" i="1" a="1"/>
  <c r="O480" i="1" s="1"/>
  <c r="O486" i="1"/>
  <c r="C478" i="1"/>
  <c r="O487" i="1" s="1"/>
  <c r="O505" i="1" l="1"/>
  <c r="B504" i="1"/>
  <c r="C504" i="1"/>
  <c r="O513" i="1" s="1"/>
  <c r="D517" i="1"/>
  <c r="G498" i="1"/>
  <c r="O498" i="1" s="1"/>
  <c r="O499" i="1"/>
  <c r="O493" i="1" a="1"/>
  <c r="O493" i="1" s="1"/>
  <c r="C491" i="1"/>
  <c r="O500" i="1" s="1"/>
  <c r="B517" i="1" l="1"/>
  <c r="O518" i="1"/>
  <c r="D530" i="1"/>
  <c r="O512" i="1"/>
  <c r="O506" i="1" a="1"/>
  <c r="O506" i="1" s="1"/>
  <c r="G511" i="1"/>
  <c r="O511" i="1" s="1"/>
  <c r="G524" i="1" l="1"/>
  <c r="O524" i="1" s="1"/>
  <c r="O519" i="1" a="1"/>
  <c r="O519" i="1" s="1"/>
  <c r="O525" i="1"/>
  <c r="O531" i="1"/>
  <c r="B530" i="1"/>
  <c r="D543" i="1"/>
  <c r="C517" i="1"/>
  <c r="O526" i="1" s="1"/>
  <c r="G537" i="1" l="1"/>
  <c r="O537" i="1" s="1"/>
  <c r="O538" i="1"/>
  <c r="O532" i="1" a="1"/>
  <c r="O532" i="1" s="1"/>
  <c r="C530" i="1"/>
  <c r="O539" i="1" s="1"/>
  <c r="O544" i="1"/>
  <c r="B543" i="1"/>
  <c r="D556" i="1"/>
  <c r="O551" i="1" l="1"/>
  <c r="O545" i="1" a="1"/>
  <c r="O545" i="1" s="1"/>
  <c r="G550" i="1"/>
  <c r="O550" i="1" s="1"/>
  <c r="B556" i="1"/>
  <c r="O557" i="1"/>
  <c r="D569" i="1"/>
  <c r="C543" i="1"/>
  <c r="O552" i="1" s="1"/>
  <c r="G563" i="1" l="1"/>
  <c r="O563" i="1" s="1"/>
  <c r="O558" i="1" a="1"/>
  <c r="O558" i="1" s="1"/>
  <c r="O564" i="1"/>
  <c r="C556" i="1"/>
  <c r="O565" i="1" s="1"/>
  <c r="C569" i="1"/>
  <c r="O578" i="1" s="1"/>
  <c r="O570" i="1"/>
  <c r="B569" i="1"/>
  <c r="D582" i="1"/>
  <c r="O583" i="1" l="1"/>
  <c r="B582" i="1"/>
  <c r="D595" i="1"/>
  <c r="G576" i="1"/>
  <c r="O576" i="1" s="1"/>
  <c r="O577" i="1"/>
  <c r="O571" i="1" a="1"/>
  <c r="O571" i="1" s="1"/>
  <c r="O590" i="1" l="1"/>
  <c r="O584" i="1" a="1"/>
  <c r="O584" i="1" s="1"/>
  <c r="G589" i="1"/>
  <c r="O589" i="1" s="1"/>
  <c r="B595" i="1"/>
  <c r="O596" i="1"/>
  <c r="D608" i="1"/>
  <c r="C582" i="1"/>
  <c r="O591" i="1" s="1"/>
  <c r="G602" i="1" l="1"/>
  <c r="O602" i="1" s="1"/>
  <c r="O597" i="1" a="1"/>
  <c r="O597" i="1" s="1"/>
  <c r="O603" i="1"/>
  <c r="C595" i="1"/>
  <c r="O604" i="1" s="1"/>
  <c r="O609" i="1"/>
  <c r="B608" i="1"/>
  <c r="C608" i="1" s="1"/>
  <c r="O617" i="1" s="1"/>
  <c r="D621" i="1"/>
  <c r="O622" i="1" l="1"/>
  <c r="B621" i="1"/>
  <c r="D634" i="1"/>
  <c r="G615" i="1"/>
  <c r="O615" i="1" s="1"/>
  <c r="O616" i="1"/>
  <c r="O610" i="1" a="1"/>
  <c r="O610" i="1" s="1"/>
  <c r="O629" i="1" l="1"/>
  <c r="O623" i="1" a="1"/>
  <c r="O623" i="1" s="1"/>
  <c r="G628" i="1"/>
  <c r="O628" i="1" s="1"/>
  <c r="B634" i="1"/>
  <c r="O635" i="1"/>
  <c r="D647" i="1"/>
  <c r="C621" i="1"/>
  <c r="O630" i="1" s="1"/>
  <c r="G641" i="1" l="1"/>
  <c r="O641" i="1" s="1"/>
  <c r="O636" i="1" a="1"/>
  <c r="O636" i="1" s="1"/>
  <c r="O642" i="1"/>
  <c r="C634" i="1"/>
  <c r="O643" i="1" s="1"/>
  <c r="C647" i="1"/>
  <c r="O656" i="1" s="1"/>
  <c r="O648" i="1"/>
  <c r="B647" i="1"/>
  <c r="D660" i="1"/>
  <c r="O661" i="1" l="1"/>
  <c r="B660" i="1"/>
  <c r="D673" i="1"/>
  <c r="G654" i="1"/>
  <c r="O654" i="1" s="1"/>
  <c r="O655" i="1"/>
  <c r="O649" i="1" a="1"/>
  <c r="O649" i="1" s="1"/>
  <c r="B673" i="1" l="1"/>
  <c r="O674" i="1"/>
  <c r="D686" i="1"/>
  <c r="O668" i="1"/>
  <c r="O662" i="1" a="1"/>
  <c r="O662" i="1" s="1"/>
  <c r="G667" i="1"/>
  <c r="O667" i="1" s="1"/>
  <c r="C660" i="1"/>
  <c r="O669" i="1" s="1"/>
  <c r="G680" i="1" l="1"/>
  <c r="O680" i="1" s="1"/>
  <c r="O675" i="1" a="1"/>
  <c r="O675" i="1" s="1"/>
  <c r="O681" i="1"/>
  <c r="O687" i="1"/>
  <c r="B686" i="1"/>
  <c r="D699" i="1"/>
  <c r="C673" i="1"/>
  <c r="O682" i="1" s="1"/>
  <c r="G693" i="1" l="1"/>
  <c r="O693" i="1" s="1"/>
  <c r="O694" i="1"/>
  <c r="O688" i="1" a="1"/>
  <c r="O688" i="1" s="1"/>
  <c r="C686" i="1"/>
  <c r="O695" i="1" s="1"/>
  <c r="O700" i="1"/>
  <c r="B699" i="1"/>
  <c r="D712" i="1"/>
  <c r="O707" i="1" l="1"/>
  <c r="O701" i="1" a="1"/>
  <c r="O701" i="1" s="1"/>
  <c r="G706" i="1"/>
  <c r="O706" i="1" s="1"/>
  <c r="B712" i="1"/>
  <c r="O713" i="1"/>
  <c r="D725" i="1"/>
  <c r="C699" i="1"/>
  <c r="O708" i="1" s="1"/>
  <c r="G719" i="1" l="1"/>
  <c r="O719" i="1" s="1"/>
  <c r="O714" i="1" a="1"/>
  <c r="O714" i="1" s="1"/>
  <c r="O720" i="1"/>
  <c r="C712" i="1"/>
  <c r="O721" i="1" s="1"/>
  <c r="C725" i="1"/>
  <c r="O734" i="1" s="1"/>
  <c r="O726" i="1"/>
  <c r="B725" i="1"/>
  <c r="D738" i="1"/>
  <c r="O739" i="1" l="1"/>
  <c r="B738" i="1"/>
  <c r="C738" i="1" s="1"/>
  <c r="O747" i="1" s="1"/>
  <c r="D751" i="1"/>
  <c r="G732" i="1"/>
  <c r="O732" i="1" s="1"/>
  <c r="O733" i="1"/>
  <c r="O727" i="1" a="1"/>
  <c r="O727" i="1" s="1"/>
  <c r="B751" i="1" l="1"/>
  <c r="O752" i="1"/>
  <c r="D764" i="1"/>
  <c r="O746" i="1"/>
  <c r="O740" i="1" a="1"/>
  <c r="O740" i="1" s="1"/>
  <c r="G745" i="1"/>
  <c r="O745" i="1" s="1"/>
  <c r="G758" i="1" l="1"/>
  <c r="O758" i="1" s="1"/>
  <c r="O753" i="1" a="1"/>
  <c r="O753" i="1" s="1"/>
  <c r="O759" i="1"/>
  <c r="C751" i="1"/>
  <c r="O760" i="1" s="1"/>
  <c r="O765" i="1"/>
  <c r="B764" i="1"/>
  <c r="D777" i="1"/>
  <c r="O778" i="1" l="1"/>
  <c r="B777" i="1"/>
  <c r="C777" i="1" s="1"/>
  <c r="O786" i="1" s="1"/>
  <c r="D790" i="1"/>
  <c r="G771" i="1"/>
  <c r="O771" i="1" s="1"/>
  <c r="O772" i="1"/>
  <c r="O766" i="1" a="1"/>
  <c r="O766" i="1" s="1"/>
  <c r="C764" i="1"/>
  <c r="O773" i="1" s="1"/>
  <c r="B790" i="1" l="1"/>
  <c r="O791" i="1"/>
  <c r="D803" i="1"/>
  <c r="O785" i="1"/>
  <c r="O779" i="1" a="1"/>
  <c r="O779" i="1" s="1"/>
  <c r="G784" i="1"/>
  <c r="O784" i="1" s="1"/>
  <c r="O804" i="1" l="1"/>
  <c r="B803" i="1"/>
  <c r="D816" i="1"/>
  <c r="G797" i="1"/>
  <c r="O797" i="1" s="1"/>
  <c r="O792" i="1" a="1"/>
  <c r="O792" i="1" s="1"/>
  <c r="O798" i="1"/>
  <c r="C790" i="1"/>
  <c r="O799" i="1" s="1"/>
  <c r="O817" i="1" l="1"/>
  <c r="B816" i="1"/>
  <c r="C816" i="1"/>
  <c r="O825" i="1" s="1"/>
  <c r="D829" i="1"/>
  <c r="G810" i="1"/>
  <c r="O810" i="1" s="1"/>
  <c r="O811" i="1"/>
  <c r="O805" i="1" a="1"/>
  <c r="O805" i="1" s="1"/>
  <c r="C803" i="1"/>
  <c r="O812" i="1" s="1"/>
  <c r="B829" i="1" l="1"/>
  <c r="O830" i="1"/>
  <c r="D842" i="1"/>
  <c r="O824" i="1"/>
  <c r="O818" i="1" a="1"/>
  <c r="O818" i="1" s="1"/>
  <c r="G823" i="1"/>
  <c r="O823" i="1" s="1"/>
  <c r="C842" i="1" l="1"/>
  <c r="O851" i="1" s="1"/>
  <c r="O843" i="1"/>
  <c r="B842" i="1"/>
  <c r="G836" i="1"/>
  <c r="O836" i="1" s="1"/>
  <c r="O831" i="1" a="1"/>
  <c r="O831" i="1" s="1"/>
  <c r="O837" i="1"/>
  <c r="C829" i="1"/>
  <c r="O838" i="1" s="1"/>
  <c r="G849" i="1" l="1"/>
  <c r="O849" i="1" s="1"/>
  <c r="O850" i="1"/>
  <c r="O844" i="1" a="1"/>
  <c r="O84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<sst xmlns="http://schemas.openxmlformats.org/spreadsheetml/2006/main" count="3210" uniqueCount="266">
  <si>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</si>
  <si>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</si>
  <si>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</si>
  <si>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</si>
  <si>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</si>
  <si>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</si>
  <si>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</si>
  <si>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</si>
  <si>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</si>
  <si>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</si>
  <si>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</si>
  <si>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</si>
  <si>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</si>
  <si>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</si>
  <si>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</si>
  <si>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</si>
  <si>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</si>
  <si>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</si>
  <si>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</si>
  <si>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</si>
  <si>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</si>
  <si>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</si>
  <si>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</si>
  <si>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</si>
  <si>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</si>
  <si>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</si>
  <si>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</si>
  <si>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</si>
  <si>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</si>
  <si>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</si>
  <si>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</si>
  <si>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</si>
  <si>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</si>
  <si>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</si>
  <si>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</si>
  <si>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</si>
  <si>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</si>
  <si>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</si>
  <si>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</si>
  <si>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</si>
  <si>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</si>
  <si>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</si>
  <si>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</si>
  <si>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</si>
  <si>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</si>
  <si>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</si>
  <si>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PreLayerNo</t>
    <phoneticPr fontId="2" type="noConversion"/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</si>
  <si>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</si>
  <si>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</si>
  <si>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</si>
  <si>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</si>
  <si>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</si>
  <si>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</si>
  <si>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</si>
  <si>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</si>
  <si>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</si>
  <si>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</si>
  <si>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</si>
  <si>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</si>
  <si>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</si>
  <si>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</si>
  <si>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</si>
  <si>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</si>
  <si>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</si>
  <si>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</si>
  <si>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</si>
  <si>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</si>
  <si>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</si>
  <si>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</si>
  <si>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</si>
  <si>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</si>
  <si>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</si>
  <si>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</si>
  <si>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</si>
  <si>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</si>
  <si>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</si>
  <si>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</si>
  <si>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</si>
  <si>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</si>
  <si>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</si>
  <si>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</si>
  <si>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</si>
  <si>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</si>
  <si>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</si>
  <si>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</si>
  <si>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</si>
  <si>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</si>
  <si>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</si>
  <si>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</si>
  <si>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</si>
  <si>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</si>
  <si>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</si>
  <si>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</si>
  <si>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</si>
  <si>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</si>
  <si>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</si>
  <si>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</si>
  <si>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</si>
  <si>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</si>
  <si>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</si>
  <si>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</si>
  <si>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</si>
  <si>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</si>
  <si>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</si>
  <si>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</si>
  <si>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</si>
  <si>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</si>
  <si>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</si>
  <si>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</si>
  <si>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</si>
  <si>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</si>
  <si>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</si>
  <si>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</si>
  <si>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</si>
  <si>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</si>
  <si>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</si>
  <si>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</si>
  <si>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</si>
  <si>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</si>
  <si>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</si>
  <si>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</si>
  <si>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</si>
  <si>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</si>
  <si>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</si>
  <si>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</si>
  <si>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</si>
  <si>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</si>
  <si>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</si>
  <si>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</si>
  <si>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</si>
  <si>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</si>
  <si>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</si>
  <si>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</si>
  <si>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</si>
  <si>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</si>
  <si>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</si>
  <si>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</si>
  <si>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</si>
  <si>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</si>
  <si>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</si>
  <si>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</si>
  <si>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</si>
  <si>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</si>
  <si>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</si>
  <si>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</si>
  <si>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</si>
  <si>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Shot5_yellow</t>
  </si>
  <si>
    <t>EnemyShot5</t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</si>
  <si>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</si>
  <si>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</si>
  <si>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</si>
  <si>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</si>
  <si>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</si>
  <si>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</si>
  <si>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</si>
  <si>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</si>
  <si>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</si>
  <si>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</si>
  <si>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</si>
  <si>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</si>
  <si>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</si>
  <si>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</si>
  <si>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</si>
  <si>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</si>
  <si>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</si>
  <si>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</si>
  <si>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</si>
  <si>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</si>
  <si>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</si>
  <si>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</si>
  <si>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</si>
  <si>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</si>
  <si>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</si>
  <si>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</si>
  <si>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</si>
  <si>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</si>
  <si>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</si>
  <si>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</si>
  <si>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</si>
  <si>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</si>
  <si>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</si>
  <si>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</si>
  <si>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</si>
  <si>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</si>
  <si>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</si>
  <si>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</si>
  <si>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</si>
  <si>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</si>
  <si>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</si>
  <si>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</si>
  <si>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</si>
  <si>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</si>
  <si>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</si>
  <si>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</si>
  <si>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</si>
  <si>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</si>
  <si>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</si>
  <si>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</si>
  <si>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</si>
  <si>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</si>
  <si>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</si>
  <si>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</si>
  <si>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</si>
  <si>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</si>
  <si>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</si>
  <si>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</si>
  <si>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</si>
  <si>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</si>
  <si>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</si>
  <si>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</si>
  <si>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</si>
  <si>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</si>
  <si>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</si>
  <si>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</si>
  <si>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</si>
  <si>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</si>
  <si>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</si>
  <si>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</si>
  <si>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</si>
  <si>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</si>
  <si>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</si>
  <si>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</si>
  <si>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</si>
  <si>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</si>
  <si>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</si>
  <si>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</si>
  <si>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</si>
  <si>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</si>
  <si>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</si>
  <si>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</si>
  <si>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</si>
  <si>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</si>
  <si>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</si>
  <si>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</si>
  <si>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</si>
  <si>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</si>
  <si>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</si>
  <si>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</si>
  <si>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</si>
  <si>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Empty</t>
  </si>
  <si>
    <t>Empty</t>
    <phoneticPr fontId="2" type="noConversion"/>
  </si>
  <si>
    <t>子加旋轉角度</t>
  </si>
  <si>
    <t>EnemyShot5</t>
    <phoneticPr fontId="2" type="noConversion"/>
  </si>
  <si>
    <t>Shot5_yellow</t>
    <phoneticPr fontId="2" type="noConversion"/>
  </si>
  <si>
    <t>Shot5_red</t>
  </si>
  <si>
    <t>Shot5_red</t>
    <phoneticPr fontId="2" type="noConversion"/>
  </si>
  <si>
    <t>啟動依ID</t>
    <phoneticPr fontId="2" type="noConversion"/>
  </si>
  <si>
    <t>啟動依開始時間後</t>
    <phoneticPr fontId="2" type="noConversion"/>
  </si>
  <si>
    <t>行動時間</t>
    <phoneticPr fontId="2" type="noConversion"/>
  </si>
  <si>
    <t>物件</t>
    <phoneticPr fontId="2" type="noConversion"/>
  </si>
  <si>
    <t>移位置</t>
    <phoneticPr fontId="2" type="noConversion"/>
  </si>
  <si>
    <t>位置ID</t>
    <phoneticPr fontId="2" type="noConversion"/>
  </si>
  <si>
    <t>子加旋轉角度</t>
    <phoneticPr fontId="2" type="noConversion"/>
  </si>
  <si>
    <t>角度值</t>
    <phoneticPr fontId="2" type="noConversion"/>
  </si>
  <si>
    <t>回收時間</t>
    <phoneticPr fontId="2" type="noConversion"/>
  </si>
  <si>
    <t>出生動畫時間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</si>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</sst>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854"/>
  <sheetViews>
    <sheetView zoomScale="115" zoomScaleNormal="115" workbookViewId="0">
      <pane ySplit="1" topLeftCell="A68" activePane="bottomLeft" state="frozen"/>
      <selection pane="bottomLeft" activeCell="M75" sqref="M75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10" width="7.375" style="23" customWidth="1"/>
    <col min="11" max="11" width="16" style="9" customWidth="1"/>
    <col min="12" max="12" width="22.375" style="9" customWidth="1"/>
    <col min="13" max="13" width="14.625" style="9" bestFit="1" customWidth="1"/>
    <col min="14" max="14" width="12.625" style="9" bestFit="1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1:58" s="17" customFormat="1">
      <c r="A1" s="21"/>
      <c r="B1" s="21"/>
      <c r="C1" s="21"/>
      <c r="D1" s="21"/>
      <c r="E1" s="17" t="s">
        <v>50</v>
      </c>
      <c r="F1" s="19" t="s">
        <v>27</v>
      </c>
      <c r="G1" s="23"/>
      <c r="H1" s="23"/>
      <c r="I1" s="23"/>
      <c r="J1" s="23"/>
      <c r="K1" s="17" t="s">
        <v>142</v>
      </c>
      <c r="L1" s="17" t="s">
        <v>143</v>
      </c>
      <c r="M1" s="17" t="s">
        <v>51</v>
      </c>
      <c r="N1" s="6" t="s">
        <v>46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1:58">
      <c r="E2" s="4"/>
    </row>
    <row r="3" spans="1:58">
      <c r="E3" s="4"/>
    </row>
    <row r="4" spans="1:58">
      <c r="E4" s="4"/>
    </row>
    <row r="5" spans="1:58">
      <c r="E5" s="4"/>
    </row>
    <row r="6" spans="1:58">
      <c r="E6" s="4"/>
    </row>
    <row r="7" spans="1:58">
      <c r="E7" s="4"/>
    </row>
    <row r="8" spans="1:58">
      <c r="A8" s="23">
        <f>G10*H10</f>
        <v>4</v>
      </c>
      <c r="B8" s="9"/>
      <c r="C8" s="9"/>
      <c r="D8" s="9"/>
      <c r="E8" s="4"/>
    </row>
    <row r="9" spans="1:58">
      <c r="A9" s="9" t="s">
        <v>231</v>
      </c>
      <c r="B9" s="23">
        <f>QUOTIENT( D9-1,G10)+1</f>
        <v>1</v>
      </c>
      <c r="C9" s="23">
        <f>D9-(B9-1)*G10</f>
        <v>1</v>
      </c>
      <c r="D9" s="23">
        <f>COUNT($D8:$D$8)+1</f>
        <v>1</v>
      </c>
      <c r="E9" s="4"/>
      <c r="F9" s="9" t="s">
        <v>231</v>
      </c>
      <c r="K9" s="9" t="s">
        <v>231</v>
      </c>
      <c r="L9" s="9" t="s">
        <v>231</v>
      </c>
      <c r="M9" s="9" t="s">
        <v>231</v>
      </c>
      <c r="N9" s="9" t="s">
        <v>231</v>
      </c>
    </row>
    <row r="10" spans="1:58">
      <c r="E10" s="4">
        <f t="shared" ref="E10:E23" si="0">ROW(E10)</f>
        <v>10</v>
      </c>
      <c r="F10" s="9" t="s">
        <v>149</v>
      </c>
      <c r="G10" s="23">
        <v>2</v>
      </c>
      <c r="H10" s="23">
        <v>2</v>
      </c>
      <c r="J10" s="23">
        <v>13300</v>
      </c>
      <c r="K10" s="9" t="s">
        <v>231</v>
      </c>
      <c r="L10" s="9" t="s">
        <v>231</v>
      </c>
      <c r="M10" s="9" t="s">
        <v>231</v>
      </c>
      <c r="N10" s="9" t="s">
        <v>231</v>
      </c>
      <c r="O10" s="23">
        <f>J10+D9</f>
        <v>13301</v>
      </c>
    </row>
    <row r="11" spans="1:58">
      <c r="E11" s="4">
        <f t="shared" si="0"/>
        <v>11</v>
      </c>
      <c r="F11" s="9" t="s">
        <v>246</v>
      </c>
      <c r="H11" s="23">
        <v>13601</v>
      </c>
      <c r="I11" s="23">
        <v>13602</v>
      </c>
      <c r="J11" s="23">
        <v>13610</v>
      </c>
      <c r="K11" s="9" t="s">
        <v>231</v>
      </c>
      <c r="L11" s="9" t="s">
        <v>231</v>
      </c>
      <c r="M11" s="9" t="s">
        <v>231</v>
      </c>
      <c r="N11" s="9" t="s">
        <v>231</v>
      </c>
      <c r="O11" s="23">
        <f>IF(B9=2,J11,IF(MOD(C9,2)=0,H11,I11))</f>
        <v>13602</v>
      </c>
    </row>
    <row r="12" spans="1:58">
      <c r="E12" s="4">
        <f t="shared" si="0"/>
        <v>12</v>
      </c>
      <c r="F12" s="9" t="s">
        <v>247</v>
      </c>
      <c r="H12" s="9" t="s">
        <v>231</v>
      </c>
      <c r="K12" s="9" t="s">
        <v>231</v>
      </c>
      <c r="L12" s="9" t="s">
        <v>231</v>
      </c>
      <c r="M12" s="9" t="s">
        <v>231</v>
      </c>
      <c r="N12" s="9" t="s">
        <v>231</v>
      </c>
      <c r="O12" s="23">
        <v>120</v>
      </c>
    </row>
    <row r="13" spans="1:58">
      <c r="E13" s="4">
        <f t="shared" si="0"/>
        <v>13</v>
      </c>
      <c r="F13" s="9" t="s">
        <v>246</v>
      </c>
      <c r="H13" s="9" t="s">
        <v>231</v>
      </c>
      <c r="K13" s="9" t="s">
        <v>231</v>
      </c>
      <c r="L13" s="9" t="s">
        <v>231</v>
      </c>
      <c r="M13" s="9" t="s">
        <v>231</v>
      </c>
      <c r="N13" s="9" t="s">
        <v>231</v>
      </c>
      <c r="O13" s="23">
        <f>O11</f>
        <v>13602</v>
      </c>
    </row>
    <row r="14" spans="1:58">
      <c r="E14" s="4">
        <f t="shared" si="0"/>
        <v>14</v>
      </c>
      <c r="F14" s="9" t="s">
        <v>247</v>
      </c>
      <c r="H14" s="9" t="s">
        <v>231</v>
      </c>
      <c r="K14" s="9" t="s">
        <v>231</v>
      </c>
      <c r="L14" s="9" t="s">
        <v>231</v>
      </c>
      <c r="M14" s="9" t="s">
        <v>231</v>
      </c>
      <c r="N14" s="9" t="s">
        <v>231</v>
      </c>
      <c r="O14" s="23">
        <v>240</v>
      </c>
    </row>
    <row r="15" spans="1:58">
      <c r="E15" s="4">
        <f t="shared" si="0"/>
        <v>15</v>
      </c>
      <c r="F15" s="9" t="s">
        <v>246</v>
      </c>
      <c r="H15" s="9" t="s">
        <v>231</v>
      </c>
      <c r="K15" s="9" t="s">
        <v>231</v>
      </c>
      <c r="L15" s="9" t="s">
        <v>231</v>
      </c>
      <c r="M15" s="9" t="s">
        <v>231</v>
      </c>
      <c r="N15" s="9" t="s">
        <v>231</v>
      </c>
      <c r="O15" s="23">
        <f>O11</f>
        <v>13602</v>
      </c>
    </row>
    <row r="16" spans="1:58">
      <c r="E16" s="4">
        <f t="shared" si="0"/>
        <v>16</v>
      </c>
      <c r="F16" s="9" t="s">
        <v>247</v>
      </c>
      <c r="H16" s="9" t="s">
        <v>231</v>
      </c>
      <c r="K16" s="9" t="s">
        <v>231</v>
      </c>
      <c r="L16" s="9" t="s">
        <v>231</v>
      </c>
      <c r="M16" s="9" t="s">
        <v>231</v>
      </c>
      <c r="N16" s="9" t="s">
        <v>231</v>
      </c>
      <c r="O16" s="23">
        <v>360</v>
      </c>
    </row>
    <row r="17" spans="1:15">
      <c r="E17" s="4">
        <f t="shared" si="0"/>
        <v>17</v>
      </c>
      <c r="F17" s="9" t="s">
        <v>246</v>
      </c>
      <c r="H17" s="9" t="s">
        <v>231</v>
      </c>
      <c r="K17" s="9" t="s">
        <v>231</v>
      </c>
      <c r="L17" s="9" t="s">
        <v>231</v>
      </c>
      <c r="M17" s="9" t="s">
        <v>231</v>
      </c>
      <c r="N17" s="9" t="s">
        <v>231</v>
      </c>
      <c r="O17" s="23">
        <f>O11</f>
        <v>13602</v>
      </c>
    </row>
    <row r="18" spans="1:15">
      <c r="E18" s="4">
        <f t="shared" si="0"/>
        <v>18</v>
      </c>
      <c r="F18" s="9" t="s">
        <v>247</v>
      </c>
      <c r="H18" s="9" t="s">
        <v>231</v>
      </c>
      <c r="K18" s="9" t="s">
        <v>231</v>
      </c>
      <c r="L18" s="9" t="s">
        <v>231</v>
      </c>
      <c r="M18" s="9" t="s">
        <v>231</v>
      </c>
      <c r="N18" s="9" t="s">
        <v>231</v>
      </c>
      <c r="O18" s="23">
        <v>480</v>
      </c>
    </row>
    <row r="19" spans="1:15">
      <c r="E19" s="4">
        <f t="shared" si="0"/>
        <v>19</v>
      </c>
      <c r="F19" s="9" t="s">
        <v>248</v>
      </c>
      <c r="K19" s="9" t="s">
        <v>231</v>
      </c>
      <c r="L19" s="9" t="s">
        <v>231</v>
      </c>
      <c r="M19" s="9" t="s">
        <v>231</v>
      </c>
      <c r="N19" s="9" t="s">
        <v>231</v>
      </c>
      <c r="O19" s="23">
        <v>500</v>
      </c>
    </row>
    <row r="20" spans="1:15">
      <c r="E20" s="4">
        <f t="shared" si="0"/>
        <v>20</v>
      </c>
      <c r="F20" s="9" t="s">
        <v>249</v>
      </c>
      <c r="K20" s="9" t="s">
        <v>231</v>
      </c>
      <c r="L20" s="9" t="s">
        <v>231</v>
      </c>
      <c r="M20" s="9" t="s">
        <v>231</v>
      </c>
      <c r="N20" s="9" t="s">
        <v>231</v>
      </c>
      <c r="O20" s="23" t="s">
        <v>240</v>
      </c>
    </row>
    <row r="21" spans="1:15">
      <c r="E21" s="4">
        <f t="shared" si="0"/>
        <v>21</v>
      </c>
      <c r="F21" s="9" t="s">
        <v>250</v>
      </c>
      <c r="I21" s="9" t="s">
        <v>231</v>
      </c>
      <c r="K21" s="9" t="s">
        <v>251</v>
      </c>
      <c r="L21" s="9" t="s">
        <v>231</v>
      </c>
      <c r="M21" s="9" t="s">
        <v>231</v>
      </c>
      <c r="N21" s="9" t="s">
        <v>231</v>
      </c>
      <c r="O21" s="23">
        <v>2</v>
      </c>
    </row>
    <row r="22" spans="1:15">
      <c r="E22" s="4">
        <f t="shared" si="0"/>
        <v>22</v>
      </c>
      <c r="F22" s="9" t="s">
        <v>252</v>
      </c>
      <c r="G22" s="23" t="b">
        <f>MOD(C9,2)=0</f>
        <v>0</v>
      </c>
      <c r="H22" s="23">
        <v>40</v>
      </c>
      <c r="I22" s="23">
        <v>-40</v>
      </c>
      <c r="K22" s="9" t="s">
        <v>231</v>
      </c>
      <c r="L22" s="9" t="s">
        <v>253</v>
      </c>
      <c r="M22" s="9" t="s">
        <v>231</v>
      </c>
      <c r="N22" s="9" t="s">
        <v>231</v>
      </c>
      <c r="O22" s="23">
        <f>IF(G22,H22,I22)</f>
        <v>-40</v>
      </c>
    </row>
    <row r="23" spans="1:15">
      <c r="E23" s="4">
        <f t="shared" si="0"/>
        <v>23</v>
      </c>
      <c r="F23" s="9" t="s">
        <v>254</v>
      </c>
      <c r="K23" s="9" t="s">
        <v>231</v>
      </c>
      <c r="L23" s="9" t="s">
        <v>231</v>
      </c>
      <c r="M23" s="9" t="s">
        <v>231</v>
      </c>
      <c r="N23" s="9" t="s">
        <v>231</v>
      </c>
      <c r="O23" s="23">
        <v>3000</v>
      </c>
    </row>
    <row r="24" spans="1:15">
      <c r="A24" s="22" t="s">
        <v>231</v>
      </c>
      <c r="B24" s="22">
        <f t="shared" ref="B24" si="1">QUOTIENT( D24-1,G25)+1</f>
        <v>1</v>
      </c>
      <c r="C24" s="22">
        <f t="shared" ref="C24" si="2">D24-(B24-1)*G25</f>
        <v>2</v>
      </c>
      <c r="D24" s="22">
        <f>COUNT($D$8:$D23)+1</f>
        <v>2</v>
      </c>
      <c r="E24" s="4"/>
      <c r="F24" s="9" t="s">
        <v>231</v>
      </c>
      <c r="K24" s="9" t="s">
        <v>231</v>
      </c>
      <c r="L24" s="9" t="s">
        <v>231</v>
      </c>
      <c r="M24" s="9" t="s">
        <v>231</v>
      </c>
      <c r="N24" s="9" t="s">
        <v>231</v>
      </c>
    </row>
    <row r="25" spans="1:15">
      <c r="E25" s="4">
        <f t="shared" ref="E25:E38" si="3">ROW(E25)</f>
        <v>25</v>
      </c>
      <c r="F25" s="9" t="s">
        <v>95</v>
      </c>
      <c r="G25" s="23">
        <v>2</v>
      </c>
      <c r="H25" s="23">
        <v>2</v>
      </c>
      <c r="J25" s="23">
        <v>13300</v>
      </c>
      <c r="K25" s="9" t="s">
        <v>231</v>
      </c>
      <c r="L25" s="9" t="s">
        <v>231</v>
      </c>
      <c r="M25" s="9" t="s">
        <v>231</v>
      </c>
      <c r="N25" s="9" t="s">
        <v>231</v>
      </c>
      <c r="O25" s="23">
        <f t="shared" ref="O25" si="4">J25+D24</f>
        <v>13302</v>
      </c>
    </row>
    <row r="26" spans="1:15">
      <c r="E26" s="4">
        <f t="shared" si="3"/>
        <v>26</v>
      </c>
      <c r="F26" s="9" t="s">
        <v>145</v>
      </c>
      <c r="H26" s="23">
        <v>13601</v>
      </c>
      <c r="I26" s="23">
        <v>13602</v>
      </c>
      <c r="J26" s="23">
        <v>13610</v>
      </c>
      <c r="K26" s="9" t="s">
        <v>231</v>
      </c>
      <c r="L26" s="9" t="s">
        <v>231</v>
      </c>
      <c r="M26" s="9" t="s">
        <v>231</v>
      </c>
      <c r="N26" s="9" t="s">
        <v>231</v>
      </c>
      <c r="O26" s="23">
        <f t="shared" ref="O26" si="5">IF(B24=2,J26,IF(MOD(C24,2)=0,H26,I26))</f>
        <v>13601</v>
      </c>
    </row>
    <row r="27" spans="1:15">
      <c r="E27" s="4">
        <f t="shared" si="3"/>
        <v>27</v>
      </c>
      <c r="F27" s="9" t="s">
        <v>128</v>
      </c>
      <c r="H27" s="23" t="s">
        <v>231</v>
      </c>
      <c r="K27" s="9" t="s">
        <v>231</v>
      </c>
      <c r="L27" s="9" t="s">
        <v>231</v>
      </c>
      <c r="M27" s="9" t="s">
        <v>231</v>
      </c>
      <c r="N27" s="9" t="s">
        <v>231</v>
      </c>
      <c r="O27" s="23">
        <v>120</v>
      </c>
    </row>
    <row r="28" spans="1:15">
      <c r="E28" s="4">
        <f t="shared" si="3"/>
        <v>28</v>
      </c>
      <c r="F28" s="9" t="s">
        <v>145</v>
      </c>
      <c r="H28" s="23" t="s">
        <v>231</v>
      </c>
      <c r="K28" s="9" t="s">
        <v>231</v>
      </c>
      <c r="L28" s="9" t="s">
        <v>231</v>
      </c>
      <c r="M28" s="9" t="s">
        <v>231</v>
      </c>
      <c r="N28" s="9" t="s">
        <v>231</v>
      </c>
      <c r="O28" s="23">
        <f t="shared" ref="O28" si="6">O26</f>
        <v>13601</v>
      </c>
    </row>
    <row r="29" spans="1:15">
      <c r="E29" s="4">
        <f t="shared" si="3"/>
        <v>29</v>
      </c>
      <c r="F29" s="9" t="s">
        <v>128</v>
      </c>
      <c r="H29" s="23" t="s">
        <v>231</v>
      </c>
      <c r="K29" s="9" t="s">
        <v>231</v>
      </c>
      <c r="L29" s="9" t="s">
        <v>231</v>
      </c>
      <c r="M29" s="9" t="s">
        <v>231</v>
      </c>
      <c r="N29" s="9" t="s">
        <v>231</v>
      </c>
      <c r="O29" s="23">
        <v>240</v>
      </c>
    </row>
    <row r="30" spans="1:15">
      <c r="E30" s="4">
        <f t="shared" si="3"/>
        <v>30</v>
      </c>
      <c r="F30" s="9" t="s">
        <v>145</v>
      </c>
      <c r="H30" s="23" t="s">
        <v>231</v>
      </c>
      <c r="K30" s="9" t="s">
        <v>231</v>
      </c>
      <c r="L30" s="9" t="s">
        <v>231</v>
      </c>
      <c r="M30" s="9" t="s">
        <v>231</v>
      </c>
      <c r="N30" s="9" t="s">
        <v>231</v>
      </c>
      <c r="O30" s="23">
        <f t="shared" ref="O30" si="7">O26</f>
        <v>13601</v>
      </c>
    </row>
    <row r="31" spans="1:15">
      <c r="E31" s="4">
        <f t="shared" si="3"/>
        <v>31</v>
      </c>
      <c r="F31" s="9" t="s">
        <v>128</v>
      </c>
      <c r="H31" s="23" t="s">
        <v>231</v>
      </c>
      <c r="K31" s="9" t="s">
        <v>231</v>
      </c>
      <c r="L31" s="9" t="s">
        <v>231</v>
      </c>
      <c r="M31" s="9" t="s">
        <v>231</v>
      </c>
      <c r="N31" s="9" t="s">
        <v>231</v>
      </c>
      <c r="O31" s="23">
        <v>360</v>
      </c>
    </row>
    <row r="32" spans="1:15">
      <c r="E32" s="4">
        <f t="shared" si="3"/>
        <v>32</v>
      </c>
      <c r="F32" s="9" t="s">
        <v>145</v>
      </c>
      <c r="H32" s="23" t="s">
        <v>231</v>
      </c>
      <c r="K32" s="9" t="s">
        <v>231</v>
      </c>
      <c r="L32" s="9" t="s">
        <v>231</v>
      </c>
      <c r="M32" s="9" t="s">
        <v>231</v>
      </c>
      <c r="N32" s="9" t="s">
        <v>231</v>
      </c>
      <c r="O32" s="23">
        <f t="shared" ref="O32" si="8">O26</f>
        <v>13601</v>
      </c>
    </row>
    <row r="33" spans="1:15">
      <c r="E33" s="4">
        <f t="shared" si="3"/>
        <v>33</v>
      </c>
      <c r="F33" s="9" t="s">
        <v>128</v>
      </c>
      <c r="H33" s="23" t="s">
        <v>231</v>
      </c>
      <c r="K33" s="9" t="s">
        <v>231</v>
      </c>
      <c r="L33" s="9" t="s">
        <v>231</v>
      </c>
      <c r="M33" s="9" t="s">
        <v>231</v>
      </c>
      <c r="N33" s="9" t="s">
        <v>231</v>
      </c>
      <c r="O33" s="23">
        <v>480</v>
      </c>
    </row>
    <row r="34" spans="1:15">
      <c r="E34" s="4">
        <f t="shared" si="3"/>
        <v>34</v>
      </c>
      <c r="F34" s="9" t="s">
        <v>35</v>
      </c>
      <c r="K34" s="9" t="s">
        <v>231</v>
      </c>
      <c r="L34" s="9" t="s">
        <v>231</v>
      </c>
      <c r="M34" s="9" t="s">
        <v>231</v>
      </c>
      <c r="N34" s="9" t="s">
        <v>231</v>
      </c>
      <c r="O34" s="23">
        <v>500</v>
      </c>
    </row>
    <row r="35" spans="1:15">
      <c r="E35" s="4">
        <f t="shared" si="3"/>
        <v>35</v>
      </c>
      <c r="F35" s="9" t="s">
        <v>29</v>
      </c>
      <c r="K35" s="9" t="s">
        <v>231</v>
      </c>
      <c r="L35" s="9" t="s">
        <v>231</v>
      </c>
      <c r="M35" s="9" t="s">
        <v>231</v>
      </c>
      <c r="N35" s="9" t="s">
        <v>231</v>
      </c>
      <c r="O35" s="23" t="s">
        <v>239</v>
      </c>
    </row>
    <row r="36" spans="1:15">
      <c r="E36" s="4">
        <f t="shared" si="3"/>
        <v>36</v>
      </c>
      <c r="F36" s="9" t="s">
        <v>100</v>
      </c>
      <c r="I36" s="23" t="s">
        <v>231</v>
      </c>
      <c r="K36" s="9" t="s">
        <v>139</v>
      </c>
      <c r="L36" s="9" t="s">
        <v>231</v>
      </c>
      <c r="M36" s="9" t="s">
        <v>231</v>
      </c>
      <c r="N36" s="9" t="s">
        <v>231</v>
      </c>
      <c r="O36" s="23">
        <v>2</v>
      </c>
    </row>
    <row r="37" spans="1:15">
      <c r="E37" s="4">
        <f t="shared" si="3"/>
        <v>37</v>
      </c>
      <c r="F37" s="9" t="s">
        <v>241</v>
      </c>
      <c r="G37" s="23" t="b">
        <f t="shared" ref="G37" si="9">MOD(C24,2)=0</f>
        <v>1</v>
      </c>
      <c r="H37" s="23">
        <v>40</v>
      </c>
      <c r="I37" s="23">
        <v>-40</v>
      </c>
      <c r="K37" s="9" t="s">
        <v>231</v>
      </c>
      <c r="L37" s="9" t="s">
        <v>136</v>
      </c>
      <c r="M37" s="9" t="s">
        <v>231</v>
      </c>
      <c r="N37" s="9" t="s">
        <v>231</v>
      </c>
      <c r="O37" s="23">
        <f t="shared" ref="O37" si="10">IF(G37,H37,I37)</f>
        <v>40</v>
      </c>
    </row>
    <row r="38" spans="1:15">
      <c r="E38" s="4">
        <f t="shared" si="3"/>
        <v>38</v>
      </c>
      <c r="F38" s="9" t="s">
        <v>99</v>
      </c>
      <c r="K38" s="9" t="s">
        <v>231</v>
      </c>
      <c r="L38" s="9" t="s">
        <v>231</v>
      </c>
      <c r="M38" s="9" t="s">
        <v>231</v>
      </c>
      <c r="N38" s="9" t="s">
        <v>231</v>
      </c>
      <c r="O38" s="23">
        <v>3000</v>
      </c>
    </row>
    <row r="39" spans="1:15">
      <c r="A39" s="22" t="s">
        <v>231</v>
      </c>
      <c r="B39" s="22">
        <f t="shared" ref="B39" si="11">QUOTIENT( D39-1,G40)+1</f>
        <v>2</v>
      </c>
      <c r="C39" s="22">
        <f t="shared" ref="C39" si="12">D39-(B39-1)*G40</f>
        <v>1</v>
      </c>
      <c r="D39" s="22">
        <f>COUNT($D$8:$D38)+1</f>
        <v>3</v>
      </c>
      <c r="E39" s="4"/>
      <c r="F39" s="9" t="s">
        <v>231</v>
      </c>
      <c r="K39" s="9" t="s">
        <v>231</v>
      </c>
      <c r="L39" s="9" t="s">
        <v>231</v>
      </c>
      <c r="M39" s="9" t="s">
        <v>231</v>
      </c>
      <c r="N39" s="9" t="s">
        <v>231</v>
      </c>
    </row>
    <row r="40" spans="1:15">
      <c r="E40" s="4">
        <f t="shared" ref="E40:E53" si="13">ROW(E40)</f>
        <v>40</v>
      </c>
      <c r="F40" s="9" t="s">
        <v>95</v>
      </c>
      <c r="G40" s="23">
        <v>2</v>
      </c>
      <c r="H40" s="23">
        <v>2</v>
      </c>
      <c r="J40" s="23">
        <v>13300</v>
      </c>
      <c r="K40" s="9" t="s">
        <v>231</v>
      </c>
      <c r="L40" s="9" t="s">
        <v>231</v>
      </c>
      <c r="M40" s="9" t="s">
        <v>231</v>
      </c>
      <c r="N40" s="9" t="s">
        <v>231</v>
      </c>
      <c r="O40" s="23">
        <f t="shared" ref="O40" si="14">J40+D39</f>
        <v>13303</v>
      </c>
    </row>
    <row r="41" spans="1:15">
      <c r="E41" s="4">
        <f t="shared" si="13"/>
        <v>41</v>
      </c>
      <c r="F41" s="9" t="s">
        <v>145</v>
      </c>
      <c r="H41" s="23">
        <v>13601</v>
      </c>
      <c r="I41" s="23">
        <v>13602</v>
      </c>
      <c r="J41" s="23">
        <v>13610</v>
      </c>
      <c r="K41" s="9" t="s">
        <v>231</v>
      </c>
      <c r="L41" s="9" t="s">
        <v>231</v>
      </c>
      <c r="M41" s="9" t="s">
        <v>231</v>
      </c>
      <c r="N41" s="9" t="s">
        <v>231</v>
      </c>
      <c r="O41" s="23">
        <f t="shared" ref="O41" si="15">IF(B39=2,J41,IF(MOD(C39,2)=0,H41,I41))</f>
        <v>13610</v>
      </c>
    </row>
    <row r="42" spans="1:15">
      <c r="E42" s="4">
        <f t="shared" si="13"/>
        <v>42</v>
      </c>
      <c r="F42" s="9" t="s">
        <v>128</v>
      </c>
      <c r="H42" s="23" t="s">
        <v>231</v>
      </c>
      <c r="K42" s="9" t="s">
        <v>231</v>
      </c>
      <c r="L42" s="9" t="s">
        <v>231</v>
      </c>
      <c r="M42" s="9" t="s">
        <v>231</v>
      </c>
      <c r="N42" s="9" t="s">
        <v>231</v>
      </c>
      <c r="O42" s="23">
        <v>120</v>
      </c>
    </row>
    <row r="43" spans="1:15">
      <c r="E43" s="4">
        <f t="shared" si="13"/>
        <v>43</v>
      </c>
      <c r="F43" s="9" t="s">
        <v>145</v>
      </c>
      <c r="H43" s="23" t="s">
        <v>231</v>
      </c>
      <c r="K43" s="9" t="s">
        <v>231</v>
      </c>
      <c r="L43" s="9" t="s">
        <v>231</v>
      </c>
      <c r="M43" s="9" t="s">
        <v>231</v>
      </c>
      <c r="N43" s="9" t="s">
        <v>231</v>
      </c>
      <c r="O43" s="23">
        <f t="shared" ref="O43" si="16">O41</f>
        <v>13610</v>
      </c>
    </row>
    <row r="44" spans="1:15">
      <c r="E44" s="4">
        <f t="shared" si="13"/>
        <v>44</v>
      </c>
      <c r="F44" s="9" t="s">
        <v>128</v>
      </c>
      <c r="H44" s="23" t="s">
        <v>231</v>
      </c>
      <c r="K44" s="9" t="s">
        <v>231</v>
      </c>
      <c r="L44" s="9" t="s">
        <v>231</v>
      </c>
      <c r="M44" s="9" t="s">
        <v>231</v>
      </c>
      <c r="N44" s="9" t="s">
        <v>231</v>
      </c>
      <c r="O44" s="23">
        <v>240</v>
      </c>
    </row>
    <row r="45" spans="1:15">
      <c r="E45" s="4">
        <f t="shared" si="13"/>
        <v>45</v>
      </c>
      <c r="F45" s="9" t="s">
        <v>145</v>
      </c>
      <c r="H45" s="23" t="s">
        <v>231</v>
      </c>
      <c r="K45" s="9" t="s">
        <v>231</v>
      </c>
      <c r="L45" s="9" t="s">
        <v>231</v>
      </c>
      <c r="M45" s="9" t="s">
        <v>231</v>
      </c>
      <c r="N45" s="9" t="s">
        <v>231</v>
      </c>
      <c r="O45" s="23">
        <f t="shared" ref="O45" si="17">O41</f>
        <v>13610</v>
      </c>
    </row>
    <row r="46" spans="1:15">
      <c r="E46" s="4">
        <f t="shared" si="13"/>
        <v>46</v>
      </c>
      <c r="F46" s="9" t="s">
        <v>128</v>
      </c>
      <c r="H46" s="23" t="s">
        <v>231</v>
      </c>
      <c r="K46" s="9" t="s">
        <v>231</v>
      </c>
      <c r="L46" s="9" t="s">
        <v>231</v>
      </c>
      <c r="M46" s="9" t="s">
        <v>231</v>
      </c>
      <c r="N46" s="9" t="s">
        <v>231</v>
      </c>
      <c r="O46" s="23">
        <v>360</v>
      </c>
    </row>
    <row r="47" spans="1:15">
      <c r="E47" s="4">
        <f t="shared" si="13"/>
        <v>47</v>
      </c>
      <c r="F47" s="9" t="s">
        <v>145</v>
      </c>
      <c r="H47" s="23" t="s">
        <v>231</v>
      </c>
      <c r="K47" s="9" t="s">
        <v>231</v>
      </c>
      <c r="L47" s="9" t="s">
        <v>231</v>
      </c>
      <c r="M47" s="9" t="s">
        <v>231</v>
      </c>
      <c r="N47" s="9" t="s">
        <v>231</v>
      </c>
      <c r="O47" s="23">
        <f t="shared" ref="O47" si="18">O41</f>
        <v>13610</v>
      </c>
    </row>
    <row r="48" spans="1:15">
      <c r="E48" s="4">
        <f t="shared" si="13"/>
        <v>48</v>
      </c>
      <c r="F48" s="9" t="s">
        <v>128</v>
      </c>
      <c r="H48" s="23" t="s">
        <v>231</v>
      </c>
      <c r="K48" s="9" t="s">
        <v>231</v>
      </c>
      <c r="L48" s="9" t="s">
        <v>231</v>
      </c>
      <c r="M48" s="9" t="s">
        <v>231</v>
      </c>
      <c r="N48" s="9" t="s">
        <v>231</v>
      </c>
      <c r="O48" s="23">
        <v>480</v>
      </c>
    </row>
    <row r="49" spans="1:15">
      <c r="E49" s="4">
        <f t="shared" si="13"/>
        <v>49</v>
      </c>
      <c r="F49" s="9" t="s">
        <v>35</v>
      </c>
      <c r="K49" s="9" t="s">
        <v>231</v>
      </c>
      <c r="L49" s="9" t="s">
        <v>231</v>
      </c>
      <c r="M49" s="9" t="s">
        <v>231</v>
      </c>
      <c r="N49" s="9" t="s">
        <v>231</v>
      </c>
      <c r="O49" s="23">
        <v>500</v>
      </c>
    </row>
    <row r="50" spans="1:15">
      <c r="E50" s="4">
        <f t="shared" si="13"/>
        <v>50</v>
      </c>
      <c r="F50" s="9" t="s">
        <v>29</v>
      </c>
      <c r="K50" s="9" t="s">
        <v>231</v>
      </c>
      <c r="L50" s="9" t="s">
        <v>231</v>
      </c>
      <c r="M50" s="9" t="s">
        <v>231</v>
      </c>
      <c r="N50" s="9" t="s">
        <v>231</v>
      </c>
      <c r="O50" s="23" t="s">
        <v>239</v>
      </c>
    </row>
    <row r="51" spans="1:15">
      <c r="E51" s="4">
        <f t="shared" si="13"/>
        <v>51</v>
      </c>
      <c r="F51" s="9" t="s">
        <v>100</v>
      </c>
      <c r="I51" s="23" t="s">
        <v>231</v>
      </c>
      <c r="K51" s="9" t="s">
        <v>139</v>
      </c>
      <c r="L51" s="9" t="s">
        <v>231</v>
      </c>
      <c r="M51" s="9" t="s">
        <v>231</v>
      </c>
      <c r="N51" s="9" t="s">
        <v>231</v>
      </c>
      <c r="O51" s="23">
        <v>2</v>
      </c>
    </row>
    <row r="52" spans="1:15">
      <c r="E52" s="4">
        <f t="shared" si="13"/>
        <v>52</v>
      </c>
      <c r="F52" s="9" t="s">
        <v>241</v>
      </c>
      <c r="G52" s="23" t="b">
        <f t="shared" ref="G52" si="19">MOD(C39,2)=0</f>
        <v>0</v>
      </c>
      <c r="H52" s="23">
        <v>40</v>
      </c>
      <c r="I52" s="23">
        <v>-40</v>
      </c>
      <c r="K52" s="9" t="s">
        <v>231</v>
      </c>
      <c r="L52" s="9" t="s">
        <v>136</v>
      </c>
      <c r="M52" s="9" t="s">
        <v>231</v>
      </c>
      <c r="N52" s="9" t="s">
        <v>231</v>
      </c>
      <c r="O52" s="23">
        <f t="shared" ref="O52" si="20">IF(G52,H52,I52)</f>
        <v>-40</v>
      </c>
    </row>
    <row r="53" spans="1:15">
      <c r="E53" s="4">
        <f t="shared" si="13"/>
        <v>53</v>
      </c>
      <c r="F53" s="9" t="s">
        <v>99</v>
      </c>
      <c r="K53" s="9" t="s">
        <v>231</v>
      </c>
      <c r="L53" s="9" t="s">
        <v>231</v>
      </c>
      <c r="M53" s="9" t="s">
        <v>231</v>
      </c>
      <c r="N53" s="9" t="s">
        <v>231</v>
      </c>
      <c r="O53" s="23">
        <v>3000</v>
      </c>
    </row>
    <row r="54" spans="1:15">
      <c r="A54" s="22" t="s">
        <v>231</v>
      </c>
      <c r="B54" s="22">
        <f t="shared" ref="B54" si="21">QUOTIENT( D54-1,G55)+1</f>
        <v>2</v>
      </c>
      <c r="C54" s="22">
        <f t="shared" ref="C54" si="22">D54-(B54-1)*G55</f>
        <v>2</v>
      </c>
      <c r="D54" s="22">
        <f>COUNT($D$8:$D53)+1</f>
        <v>4</v>
      </c>
      <c r="E54" s="4"/>
      <c r="F54" s="9" t="s">
        <v>231</v>
      </c>
      <c r="K54" s="9" t="s">
        <v>231</v>
      </c>
      <c r="L54" s="9" t="s">
        <v>231</v>
      </c>
      <c r="M54" s="9" t="s">
        <v>231</v>
      </c>
      <c r="N54" s="9" t="s">
        <v>231</v>
      </c>
    </row>
    <row r="55" spans="1:15">
      <c r="E55" s="4">
        <f t="shared" ref="E55:E68" si="23">ROW(E55)</f>
        <v>55</v>
      </c>
      <c r="F55" s="9" t="s">
        <v>95</v>
      </c>
      <c r="G55" s="23">
        <v>2</v>
      </c>
      <c r="H55" s="23">
        <v>2</v>
      </c>
      <c r="J55" s="23">
        <v>13300</v>
      </c>
      <c r="K55" s="9" t="s">
        <v>231</v>
      </c>
      <c r="L55" s="9" t="s">
        <v>231</v>
      </c>
      <c r="M55" s="9" t="s">
        <v>231</v>
      </c>
      <c r="N55" s="9" t="s">
        <v>231</v>
      </c>
      <c r="O55" s="23">
        <f t="shared" ref="O55" si="24">J55+D54</f>
        <v>13304</v>
      </c>
    </row>
    <row r="56" spans="1:15">
      <c r="E56" s="4">
        <f t="shared" si="23"/>
        <v>56</v>
      </c>
      <c r="F56" s="9" t="s">
        <v>145</v>
      </c>
      <c r="H56" s="23">
        <v>13601</v>
      </c>
      <c r="I56" s="23">
        <v>13602</v>
      </c>
      <c r="J56" s="23">
        <v>13610</v>
      </c>
      <c r="K56" s="9" t="s">
        <v>231</v>
      </c>
      <c r="L56" s="9" t="s">
        <v>231</v>
      </c>
      <c r="M56" s="9" t="s">
        <v>231</v>
      </c>
      <c r="N56" s="9" t="s">
        <v>231</v>
      </c>
      <c r="O56" s="23">
        <f t="shared" ref="O56" si="25">IF(B54=2,J56,IF(MOD(C54,2)=0,H56,I56))</f>
        <v>13610</v>
      </c>
    </row>
    <row r="57" spans="1:15">
      <c r="E57" s="4">
        <f t="shared" si="23"/>
        <v>57</v>
      </c>
      <c r="F57" s="9" t="s">
        <v>128</v>
      </c>
      <c r="H57" s="23" t="s">
        <v>231</v>
      </c>
      <c r="K57" s="9" t="s">
        <v>231</v>
      </c>
      <c r="L57" s="9" t="s">
        <v>231</v>
      </c>
      <c r="M57" s="9" t="s">
        <v>231</v>
      </c>
      <c r="N57" s="9" t="s">
        <v>231</v>
      </c>
      <c r="O57" s="23">
        <v>120</v>
      </c>
    </row>
    <row r="58" spans="1:15">
      <c r="E58" s="4">
        <f t="shared" si="23"/>
        <v>58</v>
      </c>
      <c r="F58" s="9" t="s">
        <v>145</v>
      </c>
      <c r="H58" s="23" t="s">
        <v>231</v>
      </c>
      <c r="K58" s="9" t="s">
        <v>231</v>
      </c>
      <c r="L58" s="9" t="s">
        <v>231</v>
      </c>
      <c r="M58" s="9" t="s">
        <v>231</v>
      </c>
      <c r="N58" s="9" t="s">
        <v>231</v>
      </c>
      <c r="O58" s="23">
        <f t="shared" ref="O58" si="26">O56</f>
        <v>13610</v>
      </c>
    </row>
    <row r="59" spans="1:15">
      <c r="E59" s="4">
        <f t="shared" si="23"/>
        <v>59</v>
      </c>
      <c r="F59" s="9" t="s">
        <v>128</v>
      </c>
      <c r="H59" s="23" t="s">
        <v>231</v>
      </c>
      <c r="K59" s="9" t="s">
        <v>231</v>
      </c>
      <c r="L59" s="9" t="s">
        <v>231</v>
      </c>
      <c r="M59" s="9" t="s">
        <v>231</v>
      </c>
      <c r="N59" s="9" t="s">
        <v>231</v>
      </c>
      <c r="O59" s="23">
        <v>240</v>
      </c>
    </row>
    <row r="60" spans="1:15">
      <c r="E60" s="4">
        <f t="shared" si="23"/>
        <v>60</v>
      </c>
      <c r="F60" s="9" t="s">
        <v>145</v>
      </c>
      <c r="H60" s="23" t="s">
        <v>231</v>
      </c>
      <c r="K60" s="9" t="s">
        <v>231</v>
      </c>
      <c r="L60" s="9" t="s">
        <v>231</v>
      </c>
      <c r="M60" s="9" t="s">
        <v>231</v>
      </c>
      <c r="N60" s="9" t="s">
        <v>231</v>
      </c>
      <c r="O60" s="23">
        <f t="shared" ref="O60" si="27">O56</f>
        <v>13610</v>
      </c>
    </row>
    <row r="61" spans="1:15">
      <c r="E61" s="4">
        <f t="shared" si="23"/>
        <v>61</v>
      </c>
      <c r="F61" s="9" t="s">
        <v>128</v>
      </c>
      <c r="H61" s="23" t="s">
        <v>231</v>
      </c>
      <c r="K61" s="9" t="s">
        <v>231</v>
      </c>
      <c r="L61" s="9" t="s">
        <v>231</v>
      </c>
      <c r="M61" s="9" t="s">
        <v>231</v>
      </c>
      <c r="N61" s="9" t="s">
        <v>231</v>
      </c>
      <c r="O61" s="23">
        <v>360</v>
      </c>
    </row>
    <row r="62" spans="1:15">
      <c r="E62" s="4">
        <f t="shared" si="23"/>
        <v>62</v>
      </c>
      <c r="F62" s="9" t="s">
        <v>145</v>
      </c>
      <c r="H62" s="23" t="s">
        <v>231</v>
      </c>
      <c r="K62" s="9" t="s">
        <v>231</v>
      </c>
      <c r="L62" s="9" t="s">
        <v>231</v>
      </c>
      <c r="M62" s="9" t="s">
        <v>231</v>
      </c>
      <c r="N62" s="9" t="s">
        <v>231</v>
      </c>
      <c r="O62" s="23">
        <f t="shared" ref="O62" si="28">O56</f>
        <v>13610</v>
      </c>
    </row>
    <row r="63" spans="1:15">
      <c r="E63" s="4">
        <f t="shared" si="23"/>
        <v>63</v>
      </c>
      <c r="F63" s="9" t="s">
        <v>128</v>
      </c>
      <c r="H63" s="23" t="s">
        <v>231</v>
      </c>
      <c r="K63" s="9" t="s">
        <v>231</v>
      </c>
      <c r="L63" s="9" t="s">
        <v>231</v>
      </c>
      <c r="M63" s="9" t="s">
        <v>231</v>
      </c>
      <c r="N63" s="9" t="s">
        <v>231</v>
      </c>
      <c r="O63" s="23">
        <v>480</v>
      </c>
    </row>
    <row r="64" spans="1:15">
      <c r="E64" s="4">
        <f t="shared" si="23"/>
        <v>64</v>
      </c>
      <c r="F64" s="9" t="s">
        <v>35</v>
      </c>
      <c r="K64" s="9" t="s">
        <v>231</v>
      </c>
      <c r="L64" s="9" t="s">
        <v>231</v>
      </c>
      <c r="M64" s="9" t="s">
        <v>231</v>
      </c>
      <c r="N64" s="9" t="s">
        <v>231</v>
      </c>
      <c r="O64" s="23">
        <v>500</v>
      </c>
    </row>
    <row r="65" spans="1:15">
      <c r="E65" s="4">
        <f t="shared" si="23"/>
        <v>65</v>
      </c>
      <c r="F65" s="9" t="s">
        <v>29</v>
      </c>
      <c r="K65" s="9" t="s">
        <v>231</v>
      </c>
      <c r="L65" s="9" t="s">
        <v>231</v>
      </c>
      <c r="M65" s="9" t="s">
        <v>231</v>
      </c>
      <c r="N65" s="9" t="s">
        <v>231</v>
      </c>
      <c r="O65" s="23" t="s">
        <v>239</v>
      </c>
    </row>
    <row r="66" spans="1:15">
      <c r="E66" s="4">
        <f t="shared" si="23"/>
        <v>66</v>
      </c>
      <c r="F66" s="9" t="s">
        <v>100</v>
      </c>
      <c r="I66" s="23" t="s">
        <v>231</v>
      </c>
      <c r="K66" s="9" t="s">
        <v>139</v>
      </c>
      <c r="L66" s="9" t="s">
        <v>231</v>
      </c>
      <c r="M66" s="9" t="s">
        <v>231</v>
      </c>
      <c r="N66" s="9" t="s">
        <v>231</v>
      </c>
      <c r="O66" s="23">
        <v>2</v>
      </c>
    </row>
    <row r="67" spans="1:15">
      <c r="E67" s="4">
        <f t="shared" si="23"/>
        <v>67</v>
      </c>
      <c r="F67" s="9" t="s">
        <v>241</v>
      </c>
      <c r="G67" s="23" t="b">
        <f t="shared" ref="G67" si="29">MOD(C54,2)=0</f>
        <v>1</v>
      </c>
      <c r="H67" s="23">
        <v>40</v>
      </c>
      <c r="I67" s="23">
        <v>-40</v>
      </c>
      <c r="K67" s="9" t="s">
        <v>231</v>
      </c>
      <c r="L67" s="9" t="s">
        <v>136</v>
      </c>
      <c r="M67" s="9" t="s">
        <v>231</v>
      </c>
      <c r="N67" s="9" t="s">
        <v>231</v>
      </c>
      <c r="O67" s="23">
        <f t="shared" ref="O67" si="30">IF(G67,H67,I67)</f>
        <v>40</v>
      </c>
    </row>
    <row r="68" spans="1:15">
      <c r="E68" s="4">
        <f t="shared" si="23"/>
        <v>68</v>
      </c>
      <c r="F68" s="9" t="s">
        <v>99</v>
      </c>
      <c r="K68" s="9" t="s">
        <v>231</v>
      </c>
      <c r="L68" s="9" t="s">
        <v>231</v>
      </c>
      <c r="M68" s="9" t="s">
        <v>231</v>
      </c>
      <c r="N68" s="9" t="s">
        <v>231</v>
      </c>
      <c r="O68" s="23">
        <v>3000</v>
      </c>
    </row>
    <row r="69" spans="1:15">
      <c r="E69" s="4"/>
      <c r="F69" s="9" t="s">
        <v>231</v>
      </c>
      <c r="K69" s="9" t="s">
        <v>231</v>
      </c>
      <c r="L69" s="9" t="s">
        <v>231</v>
      </c>
      <c r="M69" s="9" t="s">
        <v>231</v>
      </c>
      <c r="N69" s="9" t="s">
        <v>231</v>
      </c>
    </row>
    <row r="70" spans="1:15">
      <c r="E70" s="4"/>
      <c r="F70" s="9" t="s">
        <v>231</v>
      </c>
      <c r="K70" s="9" t="s">
        <v>231</v>
      </c>
      <c r="L70" s="9" t="s">
        <v>231</v>
      </c>
      <c r="M70" s="9" t="s">
        <v>231</v>
      </c>
      <c r="N70" s="9" t="s">
        <v>231</v>
      </c>
    </row>
    <row r="71" spans="1:15">
      <c r="E71" s="4"/>
      <c r="F71" s="9" t="s">
        <v>231</v>
      </c>
      <c r="K71" s="9" t="s">
        <v>231</v>
      </c>
      <c r="L71" s="9" t="s">
        <v>231</v>
      </c>
      <c r="M71" s="9" t="s">
        <v>231</v>
      </c>
      <c r="N71" s="9" t="s">
        <v>231</v>
      </c>
    </row>
    <row r="72" spans="1:15">
      <c r="E72" s="4"/>
      <c r="F72" s="9" t="s">
        <v>231</v>
      </c>
      <c r="K72" s="9" t="s">
        <v>231</v>
      </c>
      <c r="L72" s="9" t="s">
        <v>231</v>
      </c>
      <c r="M72" s="9" t="s">
        <v>231</v>
      </c>
      <c r="N72" s="9" t="s">
        <v>231</v>
      </c>
    </row>
    <row r="73" spans="1:15">
      <c r="E73" s="4"/>
      <c r="F73" s="9" t="s">
        <v>231</v>
      </c>
      <c r="G73" s="9" t="s">
        <v>231</v>
      </c>
      <c r="H73" s="9" t="s">
        <v>231</v>
      </c>
      <c r="I73" s="25"/>
      <c r="J73" s="9" t="s">
        <v>231</v>
      </c>
      <c r="K73" s="9" t="s">
        <v>231</v>
      </c>
      <c r="L73" s="9" t="s">
        <v>231</v>
      </c>
      <c r="M73" s="9" t="s">
        <v>231</v>
      </c>
      <c r="N73" s="9" t="s">
        <v>231</v>
      </c>
    </row>
    <row r="74" spans="1:15">
      <c r="A74" s="23">
        <f>G76*H76</f>
        <v>60</v>
      </c>
      <c r="B74" s="9" t="s">
        <v>231</v>
      </c>
      <c r="C74" s="9" t="s">
        <v>231</v>
      </c>
      <c r="D74" s="9" t="s">
        <v>231</v>
      </c>
      <c r="E74" s="4"/>
      <c r="F74" s="9" t="s">
        <v>231</v>
      </c>
      <c r="K74" s="9" t="s">
        <v>231</v>
      </c>
      <c r="L74" s="9" t="s">
        <v>231</v>
      </c>
      <c r="M74" s="9" t="s">
        <v>231</v>
      </c>
      <c r="N74" s="9" t="s">
        <v>231</v>
      </c>
    </row>
    <row r="75" spans="1:15">
      <c r="A75" s="9" t="s">
        <v>231</v>
      </c>
      <c r="B75" s="23">
        <f>QUOTIENT( D75-1,G76)+1</f>
        <v>1</v>
      </c>
      <c r="C75" s="23">
        <f>D75-(B75-1)*G76</f>
        <v>1</v>
      </c>
      <c r="D75" s="23">
        <f>COUNT($D$74:$D74)+1</f>
        <v>1</v>
      </c>
      <c r="E75" s="4"/>
      <c r="F75" s="9" t="s">
        <v>231</v>
      </c>
      <c r="K75" s="9" t="s">
        <v>231</v>
      </c>
      <c r="L75" s="9" t="s">
        <v>231</v>
      </c>
      <c r="M75" s="9" t="s">
        <v>231</v>
      </c>
      <c r="N75" s="9" t="s">
        <v>231</v>
      </c>
    </row>
    <row r="76" spans="1:15">
      <c r="E76" s="4">
        <f>ROW(E76)</f>
        <v>76</v>
      </c>
      <c r="F76" s="9" t="s">
        <v>149</v>
      </c>
      <c r="G76" s="23">
        <v>15</v>
      </c>
      <c r="H76" s="23">
        <v>4</v>
      </c>
      <c r="J76" s="23">
        <v>13400</v>
      </c>
      <c r="K76" s="9" t="s">
        <v>231</v>
      </c>
      <c r="L76" s="9" t="s">
        <v>231</v>
      </c>
      <c r="M76" s="9" t="s">
        <v>231</v>
      </c>
      <c r="N76" s="9" t="s">
        <v>231</v>
      </c>
      <c r="O76" s="23">
        <f>J76+D75</f>
        <v>13401</v>
      </c>
    </row>
    <row r="77" spans="1:15">
      <c r="E77" s="4">
        <f>ROW(E77)</f>
        <v>77</v>
      </c>
      <c r="F77" s="9" t="s">
        <v>246</v>
      </c>
      <c r="G77" s="23">
        <v>13301</v>
      </c>
      <c r="H77" s="23">
        <v>13302</v>
      </c>
      <c r="I77" s="23">
        <v>13303</v>
      </c>
      <c r="J77" s="23">
        <v>13304</v>
      </c>
      <c r="K77" s="9" t="s">
        <v>231</v>
      </c>
      <c r="L77" s="9" t="s">
        <v>231</v>
      </c>
      <c r="M77" s="9" t="s">
        <v>231</v>
      </c>
      <c r="N77" s="9" t="s">
        <v>231</v>
      </c>
      <c r="O77" s="23" cm="1">
        <f t="array" ref="O77">_xlfn.SWITCH(B75,1,G77,2,H77,3,I77,4,J77)</f>
        <v>13301</v>
      </c>
    </row>
    <row r="78" spans="1:15">
      <c r="E78" s="4">
        <f>ROW(E78)</f>
        <v>78</v>
      </c>
      <c r="F78" s="9" t="s">
        <v>247</v>
      </c>
      <c r="K78" s="9" t="s">
        <v>231</v>
      </c>
      <c r="L78" s="9" t="s">
        <v>231</v>
      </c>
      <c r="M78" s="9" t="s">
        <v>231</v>
      </c>
      <c r="N78" s="9" t="s">
        <v>231</v>
      </c>
      <c r="O78" s="23">
        <v>0</v>
      </c>
    </row>
    <row r="79" spans="1:15">
      <c r="E79" s="4">
        <f>ROW(E79)</f>
        <v>79</v>
      </c>
      <c r="F79" s="9" t="s">
        <v>255</v>
      </c>
      <c r="K79" s="9" t="s">
        <v>231</v>
      </c>
      <c r="L79" s="9" t="s">
        <v>231</v>
      </c>
      <c r="M79" s="9" t="s">
        <v>231</v>
      </c>
      <c r="N79" s="9" t="s">
        <v>231</v>
      </c>
      <c r="O79" s="23">
        <v>60</v>
      </c>
    </row>
    <row r="80" spans="1:15">
      <c r="E80" s="4">
        <f t="shared" ref="E80:E126" si="31">ROW(E80)</f>
        <v>80</v>
      </c>
      <c r="F80" s="9" t="s">
        <v>29</v>
      </c>
      <c r="O80" s="23" t="s">
        <v>242</v>
      </c>
    </row>
    <row r="81" spans="1:15">
      <c r="E81" s="4">
        <f t="shared" si="31"/>
        <v>81</v>
      </c>
      <c r="F81" s="9" t="s">
        <v>118</v>
      </c>
      <c r="K81" s="9" t="s">
        <v>139</v>
      </c>
      <c r="O81" s="23">
        <v>2</v>
      </c>
    </row>
    <row r="82" spans="1:15">
      <c r="E82" s="4">
        <f t="shared" si="31"/>
        <v>82</v>
      </c>
      <c r="F82" s="9" t="s">
        <v>120</v>
      </c>
      <c r="G82" s="23" t="b">
        <f>MOD(B75,2)=0</f>
        <v>0</v>
      </c>
      <c r="H82" s="23" t="s">
        <v>243</v>
      </c>
      <c r="I82" s="23" t="s">
        <v>245</v>
      </c>
      <c r="O82" s="23" t="str">
        <f>IF(G82,H82,I82)</f>
        <v>Shot5_red</v>
      </c>
    </row>
    <row r="83" spans="1:15">
      <c r="E83" s="4">
        <f t="shared" si="31"/>
        <v>83</v>
      </c>
      <c r="F83" s="9" t="s">
        <v>30</v>
      </c>
      <c r="G83" s="25"/>
      <c r="H83" s="25">
        <v>1.5</v>
      </c>
      <c r="I83" s="23">
        <v>1</v>
      </c>
      <c r="O83" s="25">
        <f>IF(B75&lt;=2,H83,I83)</f>
        <v>1.5</v>
      </c>
    </row>
    <row r="84" spans="1:15">
      <c r="E84" s="4">
        <f t="shared" si="31"/>
        <v>84</v>
      </c>
      <c r="F84" s="9" t="s">
        <v>31</v>
      </c>
      <c r="G84" s="23">
        <v>360</v>
      </c>
      <c r="L84" s="9" t="s">
        <v>136</v>
      </c>
      <c r="O84" s="23">
        <f>G84/G76*C75</f>
        <v>24</v>
      </c>
    </row>
    <row r="85" spans="1:15">
      <c r="E85" s="4">
        <f t="shared" si="31"/>
        <v>85</v>
      </c>
      <c r="F85" s="9" t="s">
        <v>100</v>
      </c>
      <c r="K85" s="9" t="s">
        <v>139</v>
      </c>
      <c r="O85" s="23">
        <v>2</v>
      </c>
    </row>
    <row r="86" spans="1:15">
      <c r="E86" s="4">
        <f t="shared" si="31"/>
        <v>86</v>
      </c>
      <c r="F86" s="9" t="s">
        <v>127</v>
      </c>
      <c r="O86" s="23">
        <v>1000</v>
      </c>
    </row>
    <row r="87" spans="1:15">
      <c r="E87" s="4">
        <f t="shared" si="31"/>
        <v>87</v>
      </c>
      <c r="F87" s="9" t="s">
        <v>99</v>
      </c>
      <c r="O87" s="23">
        <v>1200</v>
      </c>
    </row>
    <row r="88" spans="1:15">
      <c r="A88" s="22" t="s">
        <v>231</v>
      </c>
      <c r="B88" s="22">
        <f t="shared" ref="B88" si="32">QUOTIENT( D88-1,G89)+1</f>
        <v>1</v>
      </c>
      <c r="C88" s="22">
        <f t="shared" ref="C88" si="33">D88-(B88-1)*G89</f>
        <v>2</v>
      </c>
      <c r="D88" s="22">
        <f>COUNT($D$74:$D87)+1</f>
        <v>2</v>
      </c>
      <c r="E88" s="4"/>
      <c r="F88" s="9" t="s">
        <v>231</v>
      </c>
      <c r="K88" s="9" t="s">
        <v>231</v>
      </c>
      <c r="L88" s="9" t="s">
        <v>231</v>
      </c>
      <c r="M88" s="9" t="s">
        <v>231</v>
      </c>
      <c r="N88" s="9" t="s">
        <v>231</v>
      </c>
    </row>
    <row r="89" spans="1:15">
      <c r="E89" s="4">
        <f t="shared" ref="E89:E92" si="34">ROW(E89)</f>
        <v>89</v>
      </c>
      <c r="F89" s="9" t="s">
        <v>95</v>
      </c>
      <c r="G89" s="23">
        <v>15</v>
      </c>
      <c r="H89" s="9">
        <v>4</v>
      </c>
      <c r="J89" s="9">
        <v>13400</v>
      </c>
      <c r="K89" s="9" t="s">
        <v>231</v>
      </c>
      <c r="L89" s="9" t="s">
        <v>231</v>
      </c>
      <c r="M89" s="9" t="s">
        <v>231</v>
      </c>
      <c r="N89" s="9" t="s">
        <v>231</v>
      </c>
      <c r="O89" s="23">
        <f t="shared" ref="O89" si="35">J89+D88</f>
        <v>13402</v>
      </c>
    </row>
    <row r="90" spans="1:15">
      <c r="E90" s="4">
        <f t="shared" si="34"/>
        <v>90</v>
      </c>
      <c r="F90" s="9" t="s">
        <v>145</v>
      </c>
      <c r="G90" s="23">
        <v>13301</v>
      </c>
      <c r="H90" s="9">
        <v>13302</v>
      </c>
      <c r="I90" s="23">
        <v>13303</v>
      </c>
      <c r="J90" s="9">
        <v>13304</v>
      </c>
      <c r="K90" s="9" t="s">
        <v>231</v>
      </c>
      <c r="L90" s="9" t="s">
        <v>231</v>
      </c>
      <c r="M90" s="9" t="s">
        <v>231</v>
      </c>
      <c r="N90" s="9" t="s">
        <v>231</v>
      </c>
      <c r="O90" s="23" cm="1">
        <f t="array" ref="O90">_xlfn.SWITCH(B88,1,G90,2,H90,3,I90,4,J90)</f>
        <v>13301</v>
      </c>
    </row>
    <row r="91" spans="1:15">
      <c r="E91" s="4">
        <f t="shared" si="34"/>
        <v>91</v>
      </c>
      <c r="F91" s="9" t="s">
        <v>128</v>
      </c>
      <c r="K91" s="9" t="s">
        <v>231</v>
      </c>
      <c r="L91" s="9" t="s">
        <v>231</v>
      </c>
      <c r="M91" s="9" t="s">
        <v>231</v>
      </c>
      <c r="N91" s="9" t="s">
        <v>231</v>
      </c>
      <c r="O91" s="23">
        <v>0</v>
      </c>
    </row>
    <row r="92" spans="1:15">
      <c r="E92" s="4">
        <f t="shared" si="34"/>
        <v>92</v>
      </c>
      <c r="F92" s="9" t="s">
        <v>200</v>
      </c>
      <c r="K92" s="9" t="s">
        <v>231</v>
      </c>
      <c r="L92" s="9" t="s">
        <v>231</v>
      </c>
      <c r="M92" s="9" t="s">
        <v>231</v>
      </c>
      <c r="N92" s="9" t="s">
        <v>231</v>
      </c>
      <c r="O92" s="23">
        <v>60</v>
      </c>
    </row>
    <row r="93" spans="1:15">
      <c r="E93" s="4">
        <f t="shared" si="31"/>
        <v>93</v>
      </c>
      <c r="F93" s="9" t="s">
        <v>29</v>
      </c>
      <c r="G93" s="9"/>
      <c r="H93" s="9"/>
      <c r="I93" s="9"/>
      <c r="J93" s="9"/>
      <c r="O93" s="23" t="s">
        <v>147</v>
      </c>
    </row>
    <row r="94" spans="1:15">
      <c r="E94" s="4">
        <f t="shared" si="31"/>
        <v>94</v>
      </c>
      <c r="F94" s="9" t="s">
        <v>118</v>
      </c>
      <c r="K94" s="9" t="s">
        <v>139</v>
      </c>
      <c r="O94" s="23">
        <v>2</v>
      </c>
    </row>
    <row r="95" spans="1:15">
      <c r="E95" s="4">
        <f t="shared" si="31"/>
        <v>95</v>
      </c>
      <c r="F95" s="9" t="s">
        <v>120</v>
      </c>
      <c r="G95" s="23" t="b">
        <f t="shared" ref="G95" si="36">MOD(B88,2)=0</f>
        <v>0</v>
      </c>
      <c r="H95" s="23" t="s">
        <v>146</v>
      </c>
      <c r="I95" s="23" t="s">
        <v>244</v>
      </c>
      <c r="O95" s="23" t="str">
        <f t="shared" ref="O95" si="37">IF(G95,H95,I95)</f>
        <v>Shot5_red</v>
      </c>
    </row>
    <row r="96" spans="1:15">
      <c r="E96" s="4">
        <f t="shared" si="31"/>
        <v>96</v>
      </c>
      <c r="F96" s="9" t="s">
        <v>30</v>
      </c>
      <c r="H96" s="23">
        <v>1.5</v>
      </c>
      <c r="I96" s="23">
        <v>1</v>
      </c>
      <c r="O96" s="23">
        <f t="shared" ref="O96" si="38">IF(B88&lt;=2,H96,I96)</f>
        <v>1.5</v>
      </c>
    </row>
    <row r="97" spans="1:15">
      <c r="E97" s="4">
        <f t="shared" si="31"/>
        <v>97</v>
      </c>
      <c r="F97" s="9" t="s">
        <v>31</v>
      </c>
      <c r="G97" s="23">
        <v>360</v>
      </c>
      <c r="L97" s="9" t="s">
        <v>136</v>
      </c>
      <c r="O97" s="23">
        <f t="shared" ref="O97" si="39">G97/G89*C88</f>
        <v>48</v>
      </c>
    </row>
    <row r="98" spans="1:15">
      <c r="E98" s="4">
        <f t="shared" si="31"/>
        <v>98</v>
      </c>
      <c r="F98" s="9" t="s">
        <v>100</v>
      </c>
      <c r="K98" s="9" t="s">
        <v>139</v>
      </c>
      <c r="O98" s="23">
        <v>2</v>
      </c>
    </row>
    <row r="99" spans="1:15">
      <c r="E99" s="4">
        <f t="shared" si="31"/>
        <v>99</v>
      </c>
      <c r="F99" s="9" t="s">
        <v>127</v>
      </c>
      <c r="O99" s="23">
        <v>1000</v>
      </c>
    </row>
    <row r="100" spans="1:15">
      <c r="E100" s="4">
        <f t="shared" si="31"/>
        <v>100</v>
      </c>
      <c r="F100" s="9" t="s">
        <v>99</v>
      </c>
      <c r="O100" s="23">
        <v>1200</v>
      </c>
    </row>
    <row r="101" spans="1:15">
      <c r="A101" s="22" t="s">
        <v>231</v>
      </c>
      <c r="B101" s="22">
        <f t="shared" ref="B101" si="40">QUOTIENT( D101-1,G102)+1</f>
        <v>1</v>
      </c>
      <c r="C101" s="22">
        <f t="shared" ref="C101" si="41">D101-(B101-1)*G102</f>
        <v>3</v>
      </c>
      <c r="D101" s="22">
        <f>COUNT($D$74:$D100)+1</f>
        <v>3</v>
      </c>
      <c r="E101" s="4"/>
      <c r="F101" s="9" t="s">
        <v>231</v>
      </c>
      <c r="K101" s="9" t="s">
        <v>231</v>
      </c>
      <c r="L101" s="9" t="s">
        <v>231</v>
      </c>
      <c r="M101" s="9" t="s">
        <v>231</v>
      </c>
      <c r="N101" s="9" t="s">
        <v>231</v>
      </c>
    </row>
    <row r="102" spans="1:15">
      <c r="E102" s="4">
        <f t="shared" ref="E102:E105" si="42">ROW(E102)</f>
        <v>102</v>
      </c>
      <c r="F102" s="9" t="s">
        <v>95</v>
      </c>
      <c r="G102" s="23">
        <v>15</v>
      </c>
      <c r="H102" s="23">
        <v>4</v>
      </c>
      <c r="J102" s="23">
        <v>13400</v>
      </c>
      <c r="K102" s="9" t="s">
        <v>231</v>
      </c>
      <c r="L102" s="9" t="s">
        <v>231</v>
      </c>
      <c r="M102" s="9" t="s">
        <v>231</v>
      </c>
      <c r="N102" s="9" t="s">
        <v>231</v>
      </c>
      <c r="O102" s="23">
        <f t="shared" ref="O102" si="43">J102+D101</f>
        <v>13403</v>
      </c>
    </row>
    <row r="103" spans="1:15">
      <c r="E103" s="4">
        <f t="shared" si="42"/>
        <v>103</v>
      </c>
      <c r="F103" s="9" t="s">
        <v>145</v>
      </c>
      <c r="G103" s="23">
        <v>13301</v>
      </c>
      <c r="H103" s="23">
        <v>13302</v>
      </c>
      <c r="I103" s="23">
        <v>13303</v>
      </c>
      <c r="J103" s="23">
        <v>13304</v>
      </c>
      <c r="K103" s="9" t="s">
        <v>231</v>
      </c>
      <c r="L103" s="9" t="s">
        <v>231</v>
      </c>
      <c r="M103" s="9" t="s">
        <v>231</v>
      </c>
      <c r="N103" s="9" t="s">
        <v>231</v>
      </c>
      <c r="O103" s="23" cm="1">
        <f t="array" ref="O103">_xlfn.SWITCH(B101,1,G103,2,H103,3,I103,4,J103)</f>
        <v>13301</v>
      </c>
    </row>
    <row r="104" spans="1:15">
      <c r="E104" s="4">
        <f t="shared" si="42"/>
        <v>104</v>
      </c>
      <c r="F104" s="9" t="s">
        <v>128</v>
      </c>
      <c r="K104" s="9" t="s">
        <v>231</v>
      </c>
      <c r="L104" s="9" t="s">
        <v>231</v>
      </c>
      <c r="M104" s="9" t="s">
        <v>231</v>
      </c>
      <c r="N104" s="9" t="s">
        <v>231</v>
      </c>
      <c r="O104" s="23">
        <v>0</v>
      </c>
    </row>
    <row r="105" spans="1:15">
      <c r="E105" s="4">
        <f t="shared" si="42"/>
        <v>105</v>
      </c>
      <c r="F105" s="9" t="s">
        <v>200</v>
      </c>
      <c r="K105" s="9" t="s">
        <v>231</v>
      </c>
      <c r="L105" s="9" t="s">
        <v>231</v>
      </c>
      <c r="M105" s="9" t="s">
        <v>231</v>
      </c>
      <c r="N105" s="9" t="s">
        <v>231</v>
      </c>
      <c r="O105" s="23">
        <v>60</v>
      </c>
    </row>
    <row r="106" spans="1:15">
      <c r="E106" s="4">
        <f t="shared" si="31"/>
        <v>106</v>
      </c>
      <c r="F106" s="9" t="s">
        <v>29</v>
      </c>
      <c r="O106" s="23" t="s">
        <v>147</v>
      </c>
    </row>
    <row r="107" spans="1:15">
      <c r="E107" s="4">
        <f t="shared" si="31"/>
        <v>107</v>
      </c>
      <c r="F107" s="9" t="s">
        <v>118</v>
      </c>
      <c r="K107" s="9" t="s">
        <v>139</v>
      </c>
      <c r="O107" s="23">
        <v>2</v>
      </c>
    </row>
    <row r="108" spans="1:15">
      <c r="E108" s="4">
        <f t="shared" si="31"/>
        <v>108</v>
      </c>
      <c r="F108" s="9" t="s">
        <v>120</v>
      </c>
      <c r="G108" s="23" t="b">
        <f t="shared" ref="G108" si="44">MOD(B101,2)=0</f>
        <v>0</v>
      </c>
      <c r="H108" s="23" t="s">
        <v>146</v>
      </c>
      <c r="I108" s="23" t="s">
        <v>244</v>
      </c>
      <c r="O108" s="23" t="str">
        <f t="shared" ref="O108" si="45">IF(G108,H108,I108)</f>
        <v>Shot5_red</v>
      </c>
    </row>
    <row r="109" spans="1:15">
      <c r="E109" s="4">
        <f t="shared" si="31"/>
        <v>109</v>
      </c>
      <c r="F109" s="9" t="s">
        <v>30</v>
      </c>
      <c r="H109" s="23">
        <v>1.5</v>
      </c>
      <c r="I109" s="23">
        <v>1</v>
      </c>
      <c r="O109" s="23">
        <f t="shared" ref="O109" si="46">IF(B101&lt;=2,H109,I109)</f>
        <v>1.5</v>
      </c>
    </row>
    <row r="110" spans="1:15">
      <c r="E110" s="4">
        <f t="shared" si="31"/>
        <v>110</v>
      </c>
      <c r="F110" s="9" t="s">
        <v>31</v>
      </c>
      <c r="G110" s="23">
        <v>360</v>
      </c>
      <c r="L110" s="9" t="s">
        <v>136</v>
      </c>
      <c r="O110" s="23">
        <f t="shared" ref="O110" si="47">G110/G102*C101</f>
        <v>72</v>
      </c>
    </row>
    <row r="111" spans="1:15">
      <c r="E111" s="4">
        <f t="shared" si="31"/>
        <v>111</v>
      </c>
      <c r="F111" s="9" t="s">
        <v>100</v>
      </c>
      <c r="K111" s="9" t="s">
        <v>139</v>
      </c>
      <c r="O111" s="23">
        <v>2</v>
      </c>
    </row>
    <row r="112" spans="1:15">
      <c r="E112" s="4">
        <f t="shared" si="31"/>
        <v>112</v>
      </c>
      <c r="F112" s="9" t="s">
        <v>127</v>
      </c>
      <c r="H112" s="9"/>
      <c r="J112" s="9"/>
      <c r="O112" s="23">
        <v>1000</v>
      </c>
    </row>
    <row r="113" spans="1:15">
      <c r="E113" s="4">
        <f t="shared" si="31"/>
        <v>113</v>
      </c>
      <c r="F113" s="9" t="s">
        <v>99</v>
      </c>
      <c r="H113" s="9"/>
      <c r="J113" s="9"/>
      <c r="O113" s="23">
        <v>1200</v>
      </c>
    </row>
    <row r="114" spans="1:15">
      <c r="A114" s="22" t="s">
        <v>231</v>
      </c>
      <c r="B114" s="22">
        <f t="shared" ref="B114" si="48">QUOTIENT( D114-1,G115)+1</f>
        <v>1</v>
      </c>
      <c r="C114" s="22">
        <f t="shared" ref="C114" si="49">D114-(B114-1)*G115</f>
        <v>4</v>
      </c>
      <c r="D114" s="22">
        <f>COUNT($D$74:$D113)+1</f>
        <v>4</v>
      </c>
      <c r="E114" s="4"/>
      <c r="F114" s="9" t="s">
        <v>231</v>
      </c>
      <c r="K114" s="9" t="s">
        <v>231</v>
      </c>
      <c r="L114" s="9" t="s">
        <v>231</v>
      </c>
      <c r="M114" s="9" t="s">
        <v>231</v>
      </c>
      <c r="N114" s="9" t="s">
        <v>231</v>
      </c>
    </row>
    <row r="115" spans="1:15">
      <c r="E115" s="4">
        <f t="shared" ref="E115:E118" si="50">ROW(E115)</f>
        <v>115</v>
      </c>
      <c r="F115" s="9" t="s">
        <v>95</v>
      </c>
      <c r="G115" s="23">
        <v>15</v>
      </c>
      <c r="H115" s="23">
        <v>4</v>
      </c>
      <c r="J115" s="23">
        <v>13400</v>
      </c>
      <c r="K115" s="9" t="s">
        <v>231</v>
      </c>
      <c r="L115" s="9" t="s">
        <v>231</v>
      </c>
      <c r="M115" s="9" t="s">
        <v>231</v>
      </c>
      <c r="N115" s="9" t="s">
        <v>231</v>
      </c>
      <c r="O115" s="23">
        <f t="shared" ref="O115" si="51">J115+D114</f>
        <v>13404</v>
      </c>
    </row>
    <row r="116" spans="1:15">
      <c r="E116" s="4">
        <f t="shared" si="50"/>
        <v>116</v>
      </c>
      <c r="F116" s="9" t="s">
        <v>145</v>
      </c>
      <c r="G116" s="9">
        <v>13301</v>
      </c>
      <c r="H116" s="9">
        <v>13302</v>
      </c>
      <c r="I116" s="9">
        <v>13303</v>
      </c>
      <c r="J116" s="9">
        <v>13304</v>
      </c>
      <c r="K116" s="9" t="s">
        <v>231</v>
      </c>
      <c r="L116" s="9" t="s">
        <v>231</v>
      </c>
      <c r="M116" s="9" t="s">
        <v>231</v>
      </c>
      <c r="N116" s="9" t="s">
        <v>231</v>
      </c>
      <c r="O116" s="23" cm="1">
        <f t="array" ref="O116">_xlfn.SWITCH(B114,1,G116,2,H116,3,I116,4,J116)</f>
        <v>13301</v>
      </c>
    </row>
    <row r="117" spans="1:15">
      <c r="E117" s="4">
        <f t="shared" si="50"/>
        <v>117</v>
      </c>
      <c r="F117" s="9" t="s">
        <v>128</v>
      </c>
      <c r="K117" s="9" t="s">
        <v>231</v>
      </c>
      <c r="L117" s="9" t="s">
        <v>231</v>
      </c>
      <c r="M117" s="9" t="s">
        <v>231</v>
      </c>
      <c r="N117" s="9" t="s">
        <v>231</v>
      </c>
      <c r="O117" s="23">
        <v>0</v>
      </c>
    </row>
    <row r="118" spans="1:15">
      <c r="E118" s="4">
        <f t="shared" si="50"/>
        <v>118</v>
      </c>
      <c r="F118" s="9" t="s">
        <v>200</v>
      </c>
      <c r="K118" s="9" t="s">
        <v>231</v>
      </c>
      <c r="L118" s="9" t="s">
        <v>231</v>
      </c>
      <c r="M118" s="9" t="s">
        <v>231</v>
      </c>
      <c r="N118" s="9" t="s">
        <v>231</v>
      </c>
      <c r="O118" s="23">
        <v>60</v>
      </c>
    </row>
    <row r="119" spans="1:15">
      <c r="E119" s="4">
        <f t="shared" si="31"/>
        <v>119</v>
      </c>
      <c r="F119" s="9" t="s">
        <v>29</v>
      </c>
      <c r="O119" s="23" t="s">
        <v>147</v>
      </c>
    </row>
    <row r="120" spans="1:15">
      <c r="E120" s="4">
        <f t="shared" si="31"/>
        <v>120</v>
      </c>
      <c r="F120" s="9" t="s">
        <v>118</v>
      </c>
      <c r="K120" s="9" t="s">
        <v>139</v>
      </c>
      <c r="O120" s="23">
        <v>2</v>
      </c>
    </row>
    <row r="121" spans="1:15">
      <c r="E121" s="4">
        <f t="shared" si="31"/>
        <v>121</v>
      </c>
      <c r="F121" s="9" t="s">
        <v>120</v>
      </c>
      <c r="G121" s="23" t="b">
        <f t="shared" ref="G121" si="52">MOD(B114,2)=0</f>
        <v>0</v>
      </c>
      <c r="H121" s="23" t="s">
        <v>146</v>
      </c>
      <c r="I121" s="23" t="s">
        <v>244</v>
      </c>
      <c r="O121" s="23" t="str">
        <f t="shared" ref="O121" si="53">IF(G121,H121,I121)</f>
        <v>Shot5_red</v>
      </c>
    </row>
    <row r="122" spans="1:15">
      <c r="E122" s="4">
        <f t="shared" si="31"/>
        <v>122</v>
      </c>
      <c r="F122" s="9" t="s">
        <v>30</v>
      </c>
      <c r="H122" s="23">
        <v>1.5</v>
      </c>
      <c r="I122" s="23">
        <v>1</v>
      </c>
      <c r="O122" s="23">
        <f t="shared" ref="O122" si="54">IF(B114&lt;=2,H122,I122)</f>
        <v>1.5</v>
      </c>
    </row>
    <row r="123" spans="1:15">
      <c r="E123" s="4">
        <f t="shared" si="31"/>
        <v>123</v>
      </c>
      <c r="F123" s="9" t="s">
        <v>31</v>
      </c>
      <c r="G123" s="23">
        <v>360</v>
      </c>
      <c r="L123" s="9" t="s">
        <v>136</v>
      </c>
      <c r="O123" s="23">
        <f t="shared" ref="O123" si="55">G123/G115*C114</f>
        <v>96</v>
      </c>
    </row>
    <row r="124" spans="1:15">
      <c r="E124" s="4">
        <f t="shared" si="31"/>
        <v>124</v>
      </c>
      <c r="F124" s="9" t="s">
        <v>100</v>
      </c>
      <c r="K124" s="9" t="s">
        <v>139</v>
      </c>
      <c r="O124" s="23">
        <v>2</v>
      </c>
    </row>
    <row r="125" spans="1:15">
      <c r="E125" s="4">
        <f t="shared" si="31"/>
        <v>125</v>
      </c>
      <c r="F125" s="9" t="s">
        <v>127</v>
      </c>
      <c r="O125" s="23">
        <v>1000</v>
      </c>
    </row>
    <row r="126" spans="1:15">
      <c r="E126" s="4">
        <f t="shared" si="31"/>
        <v>126</v>
      </c>
      <c r="F126" s="9" t="s">
        <v>99</v>
      </c>
      <c r="O126" s="23">
        <v>1200</v>
      </c>
    </row>
    <row r="127" spans="1:15">
      <c r="A127" s="22" t="s">
        <v>231</v>
      </c>
      <c r="B127" s="22">
        <f t="shared" ref="B127" si="56">QUOTIENT( D127-1,G128)+1</f>
        <v>1</v>
      </c>
      <c r="C127" s="22">
        <f t="shared" ref="C127" si="57">D127-(B127-1)*G128</f>
        <v>5</v>
      </c>
      <c r="D127" s="22">
        <f>COUNT($D$74:$D126)+1</f>
        <v>5</v>
      </c>
      <c r="E127" s="4"/>
      <c r="F127" s="9" t="s">
        <v>231</v>
      </c>
      <c r="K127" s="9" t="s">
        <v>231</v>
      </c>
      <c r="L127" s="9" t="s">
        <v>231</v>
      </c>
      <c r="M127" s="9" t="s">
        <v>231</v>
      </c>
      <c r="N127" s="9" t="s">
        <v>231</v>
      </c>
    </row>
    <row r="128" spans="1:15">
      <c r="E128" s="4">
        <f t="shared" ref="E128:E139" si="58">ROW(E128)</f>
        <v>128</v>
      </c>
      <c r="F128" s="9" t="s">
        <v>95</v>
      </c>
      <c r="G128" s="23">
        <v>15</v>
      </c>
      <c r="H128" s="23">
        <v>4</v>
      </c>
      <c r="J128" s="23">
        <v>13400</v>
      </c>
      <c r="K128" s="9" t="s">
        <v>231</v>
      </c>
      <c r="L128" s="9" t="s">
        <v>231</v>
      </c>
      <c r="M128" s="9" t="s">
        <v>231</v>
      </c>
      <c r="N128" s="9" t="s">
        <v>231</v>
      </c>
      <c r="O128" s="23">
        <f t="shared" ref="O128" si="59">J128+D127</f>
        <v>13405</v>
      </c>
    </row>
    <row r="129" spans="1:15">
      <c r="E129" s="4">
        <f t="shared" si="58"/>
        <v>129</v>
      </c>
      <c r="F129" s="9" t="s">
        <v>145</v>
      </c>
      <c r="G129" s="23">
        <v>13301</v>
      </c>
      <c r="H129" s="23">
        <v>13302</v>
      </c>
      <c r="I129" s="23">
        <v>13303</v>
      </c>
      <c r="J129" s="23">
        <v>13304</v>
      </c>
      <c r="K129" s="9" t="s">
        <v>231</v>
      </c>
      <c r="L129" s="9" t="s">
        <v>231</v>
      </c>
      <c r="M129" s="9" t="s">
        <v>231</v>
      </c>
      <c r="N129" s="9" t="s">
        <v>231</v>
      </c>
      <c r="O129" s="23" cm="1">
        <f t="array" ref="O129">_xlfn.SWITCH(B127,1,G129,2,H129,3,I129,4,J129)</f>
        <v>13301</v>
      </c>
    </row>
    <row r="130" spans="1:15">
      <c r="E130" s="4">
        <f t="shared" si="58"/>
        <v>130</v>
      </c>
      <c r="F130" s="9" t="s">
        <v>128</v>
      </c>
      <c r="K130" s="9" t="s">
        <v>231</v>
      </c>
      <c r="L130" s="9" t="s">
        <v>231</v>
      </c>
      <c r="M130" s="9" t="s">
        <v>231</v>
      </c>
      <c r="N130" s="9" t="s">
        <v>231</v>
      </c>
      <c r="O130" s="23">
        <v>0</v>
      </c>
    </row>
    <row r="131" spans="1:15">
      <c r="E131" s="4">
        <f t="shared" si="58"/>
        <v>131</v>
      </c>
      <c r="F131" s="9" t="s">
        <v>200</v>
      </c>
      <c r="K131" s="9" t="s">
        <v>231</v>
      </c>
      <c r="L131" s="9" t="s">
        <v>231</v>
      </c>
      <c r="M131" s="9" t="s">
        <v>231</v>
      </c>
      <c r="N131" s="9" t="s">
        <v>231</v>
      </c>
      <c r="O131" s="23">
        <v>60</v>
      </c>
    </row>
    <row r="132" spans="1:15">
      <c r="E132" s="4">
        <f t="shared" si="58"/>
        <v>132</v>
      </c>
      <c r="F132" s="9" t="s">
        <v>29</v>
      </c>
      <c r="O132" s="23" t="s">
        <v>147</v>
      </c>
    </row>
    <row r="133" spans="1:15">
      <c r="E133" s="4">
        <f t="shared" si="58"/>
        <v>133</v>
      </c>
      <c r="F133" s="9" t="s">
        <v>118</v>
      </c>
      <c r="K133" s="9" t="s">
        <v>139</v>
      </c>
      <c r="O133" s="23">
        <v>2</v>
      </c>
    </row>
    <row r="134" spans="1:15">
      <c r="E134" s="4">
        <f t="shared" si="58"/>
        <v>134</v>
      </c>
      <c r="F134" s="9" t="s">
        <v>120</v>
      </c>
      <c r="G134" s="23" t="b">
        <f t="shared" ref="G134" si="60">MOD(B127,2)=0</f>
        <v>0</v>
      </c>
      <c r="H134" s="23" t="s">
        <v>146</v>
      </c>
      <c r="I134" s="23" t="s">
        <v>244</v>
      </c>
      <c r="O134" s="23" t="str">
        <f t="shared" ref="O134" si="61">IF(G134,H134,I134)</f>
        <v>Shot5_red</v>
      </c>
    </row>
    <row r="135" spans="1:15">
      <c r="E135" s="4">
        <f t="shared" si="58"/>
        <v>135</v>
      </c>
      <c r="F135" s="9" t="s">
        <v>30</v>
      </c>
      <c r="H135" s="9">
        <v>1.5</v>
      </c>
      <c r="I135" s="23">
        <v>1</v>
      </c>
      <c r="J135" s="9"/>
      <c r="O135" s="23">
        <f t="shared" ref="O135" si="62">IF(B127&lt;=2,H135,I135)</f>
        <v>1.5</v>
      </c>
    </row>
    <row r="136" spans="1:15">
      <c r="E136" s="4">
        <f t="shared" si="58"/>
        <v>136</v>
      </c>
      <c r="F136" s="9" t="s">
        <v>31</v>
      </c>
      <c r="G136" s="23">
        <v>360</v>
      </c>
      <c r="H136" s="9"/>
      <c r="J136" s="9"/>
      <c r="L136" s="9" t="s">
        <v>136</v>
      </c>
      <c r="O136" s="23">
        <f t="shared" ref="O136" si="63">G136/G128*C127</f>
        <v>120</v>
      </c>
    </row>
    <row r="137" spans="1:15">
      <c r="E137" s="4">
        <f t="shared" si="58"/>
        <v>137</v>
      </c>
      <c r="F137" s="9" t="s">
        <v>100</v>
      </c>
      <c r="K137" s="9" t="s">
        <v>139</v>
      </c>
      <c r="O137" s="23">
        <v>2</v>
      </c>
    </row>
    <row r="138" spans="1:15">
      <c r="E138" s="4">
        <f t="shared" si="58"/>
        <v>138</v>
      </c>
      <c r="F138" s="9" t="s">
        <v>127</v>
      </c>
      <c r="O138" s="23">
        <v>1000</v>
      </c>
    </row>
    <row r="139" spans="1:15">
      <c r="E139" s="4">
        <f t="shared" si="58"/>
        <v>139</v>
      </c>
      <c r="F139" s="9" t="s">
        <v>99</v>
      </c>
      <c r="G139" s="9"/>
      <c r="H139" s="9"/>
      <c r="I139" s="9"/>
      <c r="J139" s="9"/>
      <c r="O139" s="23">
        <v>1200</v>
      </c>
    </row>
    <row r="140" spans="1:15">
      <c r="A140" s="22" t="s">
        <v>231</v>
      </c>
      <c r="B140" s="22">
        <f t="shared" ref="B140" si="64">QUOTIENT( D140-1,G141)+1</f>
        <v>1</v>
      </c>
      <c r="C140" s="22">
        <f t="shared" ref="C140" si="65">D140-(B140-1)*G141</f>
        <v>6</v>
      </c>
      <c r="D140" s="22">
        <f>COUNT($D$74:$D139)+1</f>
        <v>6</v>
      </c>
      <c r="E140" s="4"/>
      <c r="F140" s="9" t="s">
        <v>231</v>
      </c>
      <c r="K140" s="9" t="s">
        <v>231</v>
      </c>
      <c r="L140" s="9" t="s">
        <v>231</v>
      </c>
      <c r="M140" s="9" t="s">
        <v>231</v>
      </c>
      <c r="N140" s="9" t="s">
        <v>231</v>
      </c>
    </row>
    <row r="141" spans="1:15">
      <c r="E141" s="4">
        <f t="shared" ref="E141:E152" si="66">ROW(E141)</f>
        <v>141</v>
      </c>
      <c r="F141" s="9" t="s">
        <v>95</v>
      </c>
      <c r="G141" s="23">
        <v>15</v>
      </c>
      <c r="H141" s="23">
        <v>4</v>
      </c>
      <c r="J141" s="23">
        <v>13400</v>
      </c>
      <c r="K141" s="9" t="s">
        <v>231</v>
      </c>
      <c r="L141" s="9" t="s">
        <v>231</v>
      </c>
      <c r="M141" s="9" t="s">
        <v>231</v>
      </c>
      <c r="N141" s="9" t="s">
        <v>231</v>
      </c>
      <c r="O141" s="23">
        <f t="shared" ref="O141" si="67">J141+D140</f>
        <v>13406</v>
      </c>
    </row>
    <row r="142" spans="1:15">
      <c r="E142" s="4">
        <f t="shared" si="66"/>
        <v>142</v>
      </c>
      <c r="F142" s="9" t="s">
        <v>145</v>
      </c>
      <c r="G142" s="23">
        <v>13301</v>
      </c>
      <c r="H142" s="23">
        <v>13302</v>
      </c>
      <c r="I142" s="23">
        <v>13303</v>
      </c>
      <c r="J142" s="23">
        <v>13304</v>
      </c>
      <c r="K142" s="9" t="s">
        <v>231</v>
      </c>
      <c r="L142" s="9" t="s">
        <v>231</v>
      </c>
      <c r="M142" s="9" t="s">
        <v>231</v>
      </c>
      <c r="N142" s="9" t="s">
        <v>231</v>
      </c>
      <c r="O142" s="23" cm="1">
        <f t="array" ref="O142">_xlfn.SWITCH(B140,1,G142,2,H142,3,I142,4,J142)</f>
        <v>13301</v>
      </c>
    </row>
    <row r="143" spans="1:15">
      <c r="E143" s="4">
        <f t="shared" si="66"/>
        <v>143</v>
      </c>
      <c r="F143" s="9" t="s">
        <v>128</v>
      </c>
      <c r="K143" s="9" t="s">
        <v>231</v>
      </c>
      <c r="L143" s="9" t="s">
        <v>231</v>
      </c>
      <c r="M143" s="9" t="s">
        <v>231</v>
      </c>
      <c r="N143" s="9" t="s">
        <v>231</v>
      </c>
      <c r="O143" s="23">
        <v>0</v>
      </c>
    </row>
    <row r="144" spans="1:15">
      <c r="E144" s="4">
        <f t="shared" si="66"/>
        <v>144</v>
      </c>
      <c r="F144" s="9" t="s">
        <v>200</v>
      </c>
      <c r="K144" s="9" t="s">
        <v>231</v>
      </c>
      <c r="L144" s="9" t="s">
        <v>231</v>
      </c>
      <c r="M144" s="9" t="s">
        <v>231</v>
      </c>
      <c r="N144" s="9" t="s">
        <v>231</v>
      </c>
      <c r="O144" s="23">
        <v>60</v>
      </c>
    </row>
    <row r="145" spans="1:15">
      <c r="E145" s="4">
        <f t="shared" si="66"/>
        <v>145</v>
      </c>
      <c r="F145" s="9" t="s">
        <v>29</v>
      </c>
      <c r="O145" s="23" t="s">
        <v>147</v>
      </c>
    </row>
    <row r="146" spans="1:15">
      <c r="E146" s="4">
        <f t="shared" si="66"/>
        <v>146</v>
      </c>
      <c r="F146" s="9" t="s">
        <v>118</v>
      </c>
      <c r="K146" s="9" t="s">
        <v>139</v>
      </c>
      <c r="O146" s="23">
        <v>2</v>
      </c>
    </row>
    <row r="147" spans="1:15">
      <c r="E147" s="4">
        <f t="shared" si="66"/>
        <v>147</v>
      </c>
      <c r="F147" s="9" t="s">
        <v>120</v>
      </c>
      <c r="G147" s="23" t="b">
        <f t="shared" ref="G147" si="68">MOD(B140,2)=0</f>
        <v>0</v>
      </c>
      <c r="H147" s="23" t="s">
        <v>146</v>
      </c>
      <c r="I147" s="23" t="s">
        <v>244</v>
      </c>
      <c r="O147" s="23" t="str">
        <f t="shared" ref="O147" si="69">IF(G147,H147,I147)</f>
        <v>Shot5_red</v>
      </c>
    </row>
    <row r="148" spans="1:15">
      <c r="E148" s="4">
        <f t="shared" si="66"/>
        <v>148</v>
      </c>
      <c r="F148" s="9" t="s">
        <v>30</v>
      </c>
      <c r="H148" s="23">
        <v>1.5</v>
      </c>
      <c r="I148" s="23">
        <v>1</v>
      </c>
      <c r="O148" s="23">
        <f t="shared" ref="O148" si="70">IF(B140&lt;=2,H148,I148)</f>
        <v>1.5</v>
      </c>
    </row>
    <row r="149" spans="1:15">
      <c r="E149" s="4">
        <f t="shared" si="66"/>
        <v>149</v>
      </c>
      <c r="F149" s="9" t="s">
        <v>31</v>
      </c>
      <c r="G149" s="23">
        <v>360</v>
      </c>
      <c r="L149" s="9" t="s">
        <v>136</v>
      </c>
      <c r="O149" s="23">
        <f t="shared" ref="O149" si="71">G149/G141*C140</f>
        <v>144</v>
      </c>
    </row>
    <row r="150" spans="1:15">
      <c r="E150" s="4">
        <f t="shared" si="66"/>
        <v>150</v>
      </c>
      <c r="F150" s="9" t="s">
        <v>100</v>
      </c>
      <c r="K150" s="9" t="s">
        <v>139</v>
      </c>
      <c r="O150" s="23">
        <v>2</v>
      </c>
    </row>
    <row r="151" spans="1:15">
      <c r="E151" s="4">
        <f t="shared" si="66"/>
        <v>151</v>
      </c>
      <c r="F151" s="9" t="s">
        <v>127</v>
      </c>
      <c r="O151" s="23">
        <v>1000</v>
      </c>
    </row>
    <row r="152" spans="1:15">
      <c r="E152" s="4">
        <f t="shared" si="66"/>
        <v>152</v>
      </c>
      <c r="F152" s="9" t="s">
        <v>99</v>
      </c>
      <c r="O152" s="23">
        <v>1200</v>
      </c>
    </row>
    <row r="153" spans="1:15">
      <c r="A153" s="22" t="s">
        <v>231</v>
      </c>
      <c r="B153" s="22">
        <f t="shared" ref="B153" si="72">QUOTIENT( D153-1,G154)+1</f>
        <v>1</v>
      </c>
      <c r="C153" s="22">
        <f t="shared" ref="C153" si="73">D153-(B153-1)*G154</f>
        <v>7</v>
      </c>
      <c r="D153" s="22">
        <f>COUNT($D$74:$D152)+1</f>
        <v>7</v>
      </c>
      <c r="E153" s="4"/>
      <c r="F153" s="9" t="s">
        <v>231</v>
      </c>
      <c r="K153" s="9" t="s">
        <v>231</v>
      </c>
      <c r="L153" s="9" t="s">
        <v>231</v>
      </c>
      <c r="M153" s="9" t="s">
        <v>231</v>
      </c>
      <c r="N153" s="9" t="s">
        <v>231</v>
      </c>
    </row>
    <row r="154" spans="1:15">
      <c r="E154" s="4">
        <f t="shared" ref="E154:E165" si="74">ROW(E154)</f>
        <v>154</v>
      </c>
      <c r="F154" s="9" t="s">
        <v>95</v>
      </c>
      <c r="G154" s="23">
        <v>15</v>
      </c>
      <c r="H154" s="23">
        <v>4</v>
      </c>
      <c r="J154" s="23">
        <v>13400</v>
      </c>
      <c r="K154" s="9" t="s">
        <v>231</v>
      </c>
      <c r="L154" s="9" t="s">
        <v>231</v>
      </c>
      <c r="M154" s="9" t="s">
        <v>231</v>
      </c>
      <c r="N154" s="9" t="s">
        <v>231</v>
      </c>
      <c r="O154" s="23">
        <f t="shared" ref="O154" si="75">J154+D153</f>
        <v>13407</v>
      </c>
    </row>
    <row r="155" spans="1:15">
      <c r="E155" s="4">
        <f t="shared" si="74"/>
        <v>155</v>
      </c>
      <c r="F155" s="9" t="s">
        <v>145</v>
      </c>
      <c r="G155" s="23">
        <v>13301</v>
      </c>
      <c r="H155" s="23">
        <v>13302</v>
      </c>
      <c r="I155" s="23">
        <v>13303</v>
      </c>
      <c r="J155" s="23">
        <v>13304</v>
      </c>
      <c r="K155" s="9" t="s">
        <v>231</v>
      </c>
      <c r="L155" s="9" t="s">
        <v>231</v>
      </c>
      <c r="M155" s="9" t="s">
        <v>231</v>
      </c>
      <c r="N155" s="9" t="s">
        <v>231</v>
      </c>
      <c r="O155" s="23" cm="1">
        <f t="array" ref="O155">_xlfn.SWITCH(B153,1,G155,2,H155,3,I155,4,J155)</f>
        <v>13301</v>
      </c>
    </row>
    <row r="156" spans="1:15">
      <c r="E156" s="4">
        <f t="shared" si="74"/>
        <v>156</v>
      </c>
      <c r="F156" s="9" t="s">
        <v>128</v>
      </c>
      <c r="K156" s="9" t="s">
        <v>231</v>
      </c>
      <c r="L156" s="9" t="s">
        <v>231</v>
      </c>
      <c r="M156" s="9" t="s">
        <v>231</v>
      </c>
      <c r="N156" s="9" t="s">
        <v>231</v>
      </c>
      <c r="O156" s="23">
        <v>0</v>
      </c>
    </row>
    <row r="157" spans="1:15">
      <c r="E157" s="4">
        <f t="shared" si="74"/>
        <v>157</v>
      </c>
      <c r="F157" s="9" t="s">
        <v>200</v>
      </c>
      <c r="K157" s="9" t="s">
        <v>231</v>
      </c>
      <c r="L157" s="9" t="s">
        <v>231</v>
      </c>
      <c r="M157" s="9" t="s">
        <v>231</v>
      </c>
      <c r="N157" s="9" t="s">
        <v>231</v>
      </c>
      <c r="O157" s="23">
        <v>60</v>
      </c>
    </row>
    <row r="158" spans="1:15">
      <c r="E158" s="4">
        <f t="shared" si="74"/>
        <v>158</v>
      </c>
      <c r="F158" s="9" t="s">
        <v>29</v>
      </c>
      <c r="H158" s="9"/>
      <c r="J158" s="9"/>
      <c r="O158" s="23" t="s">
        <v>147</v>
      </c>
    </row>
    <row r="159" spans="1:15">
      <c r="E159" s="4">
        <f t="shared" si="74"/>
        <v>159</v>
      </c>
      <c r="F159" s="9" t="s">
        <v>118</v>
      </c>
      <c r="H159" s="9"/>
      <c r="J159" s="9"/>
      <c r="K159" s="9" t="s">
        <v>139</v>
      </c>
      <c r="O159" s="23">
        <v>2</v>
      </c>
    </row>
    <row r="160" spans="1:15">
      <c r="E160" s="4">
        <f t="shared" si="74"/>
        <v>160</v>
      </c>
      <c r="F160" s="9" t="s">
        <v>120</v>
      </c>
      <c r="G160" s="23" t="b">
        <f t="shared" ref="G160" si="76">MOD(B153,2)=0</f>
        <v>0</v>
      </c>
      <c r="H160" s="23" t="s">
        <v>146</v>
      </c>
      <c r="I160" s="23" t="s">
        <v>244</v>
      </c>
      <c r="O160" s="23" t="str">
        <f t="shared" ref="O160" si="77">IF(G160,H160,I160)</f>
        <v>Shot5_red</v>
      </c>
    </row>
    <row r="161" spans="1:15">
      <c r="E161" s="4">
        <f t="shared" si="74"/>
        <v>161</v>
      </c>
      <c r="F161" s="9" t="s">
        <v>30</v>
      </c>
      <c r="H161" s="23">
        <v>1.5</v>
      </c>
      <c r="I161" s="23">
        <v>1</v>
      </c>
      <c r="O161" s="23">
        <f t="shared" ref="O161" si="78">IF(B153&lt;=2,H161,I161)</f>
        <v>1.5</v>
      </c>
    </row>
    <row r="162" spans="1:15">
      <c r="E162" s="4">
        <f t="shared" si="74"/>
        <v>162</v>
      </c>
      <c r="F162" s="9" t="s">
        <v>31</v>
      </c>
      <c r="G162" s="9">
        <v>360</v>
      </c>
      <c r="H162" s="9"/>
      <c r="I162" s="9"/>
      <c r="J162" s="9"/>
      <c r="L162" s="9" t="s">
        <v>136</v>
      </c>
      <c r="O162" s="23">
        <f t="shared" ref="O162" si="79">G162/G154*C153</f>
        <v>168</v>
      </c>
    </row>
    <row r="163" spans="1:15">
      <c r="E163" s="4">
        <f t="shared" si="74"/>
        <v>163</v>
      </c>
      <c r="F163" s="9" t="s">
        <v>100</v>
      </c>
      <c r="K163" s="9" t="s">
        <v>139</v>
      </c>
      <c r="O163" s="23">
        <v>2</v>
      </c>
    </row>
    <row r="164" spans="1:15">
      <c r="E164" s="4">
        <f t="shared" si="74"/>
        <v>164</v>
      </c>
      <c r="F164" s="9" t="s">
        <v>127</v>
      </c>
      <c r="O164" s="23">
        <v>1000</v>
      </c>
    </row>
    <row r="165" spans="1:15">
      <c r="E165" s="4">
        <f t="shared" si="74"/>
        <v>165</v>
      </c>
      <c r="F165" s="9" t="s">
        <v>99</v>
      </c>
      <c r="O165" s="23">
        <v>1200</v>
      </c>
    </row>
    <row r="166" spans="1:15">
      <c r="A166" s="22" t="s">
        <v>231</v>
      </c>
      <c r="B166" s="22">
        <f t="shared" ref="B166" si="80">QUOTIENT( D166-1,G167)+1</f>
        <v>1</v>
      </c>
      <c r="C166" s="22">
        <f t="shared" ref="C166" si="81">D166-(B166-1)*G167</f>
        <v>8</v>
      </c>
      <c r="D166" s="22">
        <f>COUNT($D$74:$D165)+1</f>
        <v>8</v>
      </c>
      <c r="E166" s="4"/>
      <c r="F166" s="9" t="s">
        <v>231</v>
      </c>
      <c r="K166" s="9" t="s">
        <v>231</v>
      </c>
      <c r="L166" s="9" t="s">
        <v>231</v>
      </c>
      <c r="M166" s="9" t="s">
        <v>231</v>
      </c>
      <c r="N166" s="9" t="s">
        <v>231</v>
      </c>
    </row>
    <row r="167" spans="1:15">
      <c r="E167" s="4">
        <f t="shared" ref="E167:E178" si="82">ROW(E167)</f>
        <v>167</v>
      </c>
      <c r="F167" s="9" t="s">
        <v>95</v>
      </c>
      <c r="G167" s="23">
        <v>15</v>
      </c>
      <c r="H167" s="23">
        <v>4</v>
      </c>
      <c r="J167" s="23">
        <v>13400</v>
      </c>
      <c r="K167" s="9" t="s">
        <v>231</v>
      </c>
      <c r="L167" s="9" t="s">
        <v>231</v>
      </c>
      <c r="M167" s="9" t="s">
        <v>231</v>
      </c>
      <c r="N167" s="9" t="s">
        <v>231</v>
      </c>
      <c r="O167" s="23">
        <f t="shared" ref="O167" si="83">J167+D166</f>
        <v>13408</v>
      </c>
    </row>
    <row r="168" spans="1:15">
      <c r="E168" s="4">
        <f t="shared" si="82"/>
        <v>168</v>
      </c>
      <c r="F168" s="9" t="s">
        <v>145</v>
      </c>
      <c r="G168" s="23">
        <v>13301</v>
      </c>
      <c r="H168" s="23">
        <v>13302</v>
      </c>
      <c r="I168" s="23">
        <v>13303</v>
      </c>
      <c r="J168" s="23">
        <v>13304</v>
      </c>
      <c r="K168" s="9" t="s">
        <v>231</v>
      </c>
      <c r="L168" s="9" t="s">
        <v>231</v>
      </c>
      <c r="M168" s="9" t="s">
        <v>231</v>
      </c>
      <c r="N168" s="9" t="s">
        <v>231</v>
      </c>
      <c r="O168" s="23" cm="1">
        <f t="array" ref="O168">_xlfn.SWITCH(B166,1,G168,2,H168,3,I168,4,J168)</f>
        <v>13301</v>
      </c>
    </row>
    <row r="169" spans="1:15">
      <c r="E169" s="4">
        <f t="shared" si="82"/>
        <v>169</v>
      </c>
      <c r="F169" s="9" t="s">
        <v>128</v>
      </c>
      <c r="K169" s="9" t="s">
        <v>231</v>
      </c>
      <c r="L169" s="9" t="s">
        <v>231</v>
      </c>
      <c r="M169" s="9" t="s">
        <v>231</v>
      </c>
      <c r="N169" s="9" t="s">
        <v>231</v>
      </c>
      <c r="O169" s="23">
        <v>0</v>
      </c>
    </row>
    <row r="170" spans="1:15">
      <c r="E170" s="4">
        <f t="shared" si="82"/>
        <v>170</v>
      </c>
      <c r="F170" s="9" t="s">
        <v>200</v>
      </c>
      <c r="K170" s="9" t="s">
        <v>231</v>
      </c>
      <c r="L170" s="9" t="s">
        <v>231</v>
      </c>
      <c r="M170" s="9" t="s">
        <v>231</v>
      </c>
      <c r="N170" s="9" t="s">
        <v>231</v>
      </c>
      <c r="O170" s="23">
        <v>60</v>
      </c>
    </row>
    <row r="171" spans="1:15">
      <c r="E171" s="4">
        <f t="shared" si="82"/>
        <v>171</v>
      </c>
      <c r="F171" s="9" t="s">
        <v>29</v>
      </c>
      <c r="O171" s="23" t="s">
        <v>147</v>
      </c>
    </row>
    <row r="172" spans="1:15">
      <c r="E172" s="4">
        <f t="shared" si="82"/>
        <v>172</v>
      </c>
      <c r="F172" s="9" t="s">
        <v>118</v>
      </c>
      <c r="K172" s="9" t="s">
        <v>139</v>
      </c>
      <c r="O172" s="23">
        <v>2</v>
      </c>
    </row>
    <row r="173" spans="1:15">
      <c r="E173" s="4">
        <f t="shared" si="82"/>
        <v>173</v>
      </c>
      <c r="F173" s="9" t="s">
        <v>120</v>
      </c>
      <c r="G173" s="23" t="b">
        <f t="shared" ref="G173" si="84">MOD(B166,2)=0</f>
        <v>0</v>
      </c>
      <c r="H173" s="23" t="s">
        <v>146</v>
      </c>
      <c r="I173" s="23" t="s">
        <v>244</v>
      </c>
      <c r="O173" s="23" t="str">
        <f t="shared" ref="O173" si="85">IF(G173,H173,I173)</f>
        <v>Shot5_red</v>
      </c>
    </row>
    <row r="174" spans="1:15">
      <c r="E174" s="4">
        <f t="shared" si="82"/>
        <v>174</v>
      </c>
      <c r="F174" s="9" t="s">
        <v>30</v>
      </c>
      <c r="H174" s="23">
        <v>1.5</v>
      </c>
      <c r="I174" s="23">
        <v>1</v>
      </c>
      <c r="O174" s="23">
        <f t="shared" ref="O174" si="86">IF(B166&lt;=2,H174,I174)</f>
        <v>1.5</v>
      </c>
    </row>
    <row r="175" spans="1:15">
      <c r="E175" s="4">
        <f t="shared" si="82"/>
        <v>175</v>
      </c>
      <c r="F175" s="9" t="s">
        <v>31</v>
      </c>
      <c r="G175" s="23">
        <v>360</v>
      </c>
      <c r="L175" s="9" t="s">
        <v>136</v>
      </c>
      <c r="O175" s="23">
        <f t="shared" ref="O175" si="87">G175/G167*C166</f>
        <v>192</v>
      </c>
    </row>
    <row r="176" spans="1:15">
      <c r="E176" s="4">
        <f t="shared" si="82"/>
        <v>176</v>
      </c>
      <c r="F176" s="9" t="s">
        <v>100</v>
      </c>
      <c r="K176" s="9" t="s">
        <v>139</v>
      </c>
      <c r="O176" s="23">
        <v>2</v>
      </c>
    </row>
    <row r="177" spans="1:15">
      <c r="E177" s="4">
        <f t="shared" si="82"/>
        <v>177</v>
      </c>
      <c r="F177" s="9" t="s">
        <v>127</v>
      </c>
      <c r="O177" s="23">
        <v>1000</v>
      </c>
    </row>
    <row r="178" spans="1:15">
      <c r="E178" s="4">
        <f t="shared" si="82"/>
        <v>178</v>
      </c>
      <c r="F178" s="9" t="s">
        <v>99</v>
      </c>
      <c r="O178" s="23">
        <v>1200</v>
      </c>
    </row>
    <row r="179" spans="1:15">
      <c r="A179" s="22" t="s">
        <v>231</v>
      </c>
      <c r="B179" s="22">
        <f t="shared" ref="B179" si="88">QUOTIENT( D179-1,G180)+1</f>
        <v>1</v>
      </c>
      <c r="C179" s="22">
        <f t="shared" ref="C179" si="89">D179-(B179-1)*G180</f>
        <v>9</v>
      </c>
      <c r="D179" s="22">
        <f>COUNT($D$74:$D178)+1</f>
        <v>9</v>
      </c>
      <c r="E179" s="4"/>
      <c r="F179" s="9" t="s">
        <v>231</v>
      </c>
      <c r="K179" s="9" t="s">
        <v>231</v>
      </c>
      <c r="L179" s="9" t="s">
        <v>231</v>
      </c>
      <c r="M179" s="9" t="s">
        <v>231</v>
      </c>
      <c r="N179" s="9" t="s">
        <v>231</v>
      </c>
    </row>
    <row r="180" spans="1:15">
      <c r="E180" s="4">
        <f t="shared" ref="E180:E191" si="90">ROW(E180)</f>
        <v>180</v>
      </c>
      <c r="F180" s="9" t="s">
        <v>95</v>
      </c>
      <c r="G180" s="23">
        <v>15</v>
      </c>
      <c r="H180" s="23">
        <v>4</v>
      </c>
      <c r="J180" s="23">
        <v>13400</v>
      </c>
      <c r="K180" s="9" t="s">
        <v>231</v>
      </c>
      <c r="L180" s="9" t="s">
        <v>231</v>
      </c>
      <c r="M180" s="9" t="s">
        <v>231</v>
      </c>
      <c r="N180" s="9" t="s">
        <v>231</v>
      </c>
      <c r="O180" s="23">
        <f t="shared" ref="O180" si="91">J180+D179</f>
        <v>13409</v>
      </c>
    </row>
    <row r="181" spans="1:15">
      <c r="E181" s="4">
        <f t="shared" si="90"/>
        <v>181</v>
      </c>
      <c r="F181" s="9" t="s">
        <v>145</v>
      </c>
      <c r="G181" s="23">
        <v>13301</v>
      </c>
      <c r="H181" s="9">
        <v>13302</v>
      </c>
      <c r="I181" s="23">
        <v>13303</v>
      </c>
      <c r="J181" s="9">
        <v>13304</v>
      </c>
      <c r="K181" s="9" t="s">
        <v>231</v>
      </c>
      <c r="L181" s="9" t="s">
        <v>231</v>
      </c>
      <c r="M181" s="9" t="s">
        <v>231</v>
      </c>
      <c r="N181" s="9" t="s">
        <v>231</v>
      </c>
      <c r="O181" s="23" cm="1">
        <f t="array" ref="O181">_xlfn.SWITCH(B179,1,G181,2,H181,3,I181,4,J181)</f>
        <v>13301</v>
      </c>
    </row>
    <row r="182" spans="1:15">
      <c r="E182" s="4">
        <f t="shared" si="90"/>
        <v>182</v>
      </c>
      <c r="F182" s="9" t="s">
        <v>128</v>
      </c>
      <c r="H182" s="9"/>
      <c r="J182" s="9"/>
      <c r="K182" s="9" t="s">
        <v>231</v>
      </c>
      <c r="L182" s="9" t="s">
        <v>231</v>
      </c>
      <c r="M182" s="9" t="s">
        <v>231</v>
      </c>
      <c r="N182" s="9" t="s">
        <v>231</v>
      </c>
      <c r="O182" s="23">
        <v>0</v>
      </c>
    </row>
    <row r="183" spans="1:15">
      <c r="E183" s="4">
        <f t="shared" si="90"/>
        <v>183</v>
      </c>
      <c r="F183" s="9" t="s">
        <v>200</v>
      </c>
      <c r="K183" s="9" t="s">
        <v>231</v>
      </c>
      <c r="L183" s="9" t="s">
        <v>231</v>
      </c>
      <c r="M183" s="9" t="s">
        <v>231</v>
      </c>
      <c r="N183" s="9" t="s">
        <v>231</v>
      </c>
      <c r="O183" s="23">
        <v>60</v>
      </c>
    </row>
    <row r="184" spans="1:15">
      <c r="E184" s="4">
        <f t="shared" si="90"/>
        <v>184</v>
      </c>
      <c r="F184" s="9" t="s">
        <v>29</v>
      </c>
      <c r="O184" s="23" t="s">
        <v>147</v>
      </c>
    </row>
    <row r="185" spans="1:15">
      <c r="E185" s="4">
        <f t="shared" si="90"/>
        <v>185</v>
      </c>
      <c r="F185" s="9" t="s">
        <v>118</v>
      </c>
      <c r="G185" s="9"/>
      <c r="H185" s="9"/>
      <c r="I185" s="9"/>
      <c r="J185" s="9"/>
      <c r="K185" s="9" t="s">
        <v>139</v>
      </c>
      <c r="O185" s="23">
        <v>2</v>
      </c>
    </row>
    <row r="186" spans="1:15">
      <c r="E186" s="4">
        <f t="shared" si="90"/>
        <v>186</v>
      </c>
      <c r="F186" s="9" t="s">
        <v>120</v>
      </c>
      <c r="G186" s="23" t="b">
        <f t="shared" ref="G186" si="92">MOD(B179,2)=0</f>
        <v>0</v>
      </c>
      <c r="H186" s="23" t="s">
        <v>146</v>
      </c>
      <c r="I186" s="23" t="s">
        <v>244</v>
      </c>
      <c r="O186" s="23" t="str">
        <f t="shared" ref="O186" si="93">IF(G186,H186,I186)</f>
        <v>Shot5_red</v>
      </c>
    </row>
    <row r="187" spans="1:15">
      <c r="E187" s="4">
        <f t="shared" si="90"/>
        <v>187</v>
      </c>
      <c r="F187" s="9" t="s">
        <v>30</v>
      </c>
      <c r="H187" s="23">
        <v>1.5</v>
      </c>
      <c r="I187" s="23">
        <v>1</v>
      </c>
      <c r="O187" s="23">
        <f t="shared" ref="O187" si="94">IF(B179&lt;=2,H187,I187)</f>
        <v>1.5</v>
      </c>
    </row>
    <row r="188" spans="1:15">
      <c r="E188" s="4">
        <f t="shared" si="90"/>
        <v>188</v>
      </c>
      <c r="F188" s="9" t="s">
        <v>31</v>
      </c>
      <c r="G188" s="23">
        <v>360</v>
      </c>
      <c r="L188" s="9" t="s">
        <v>136</v>
      </c>
      <c r="O188" s="23">
        <f t="shared" ref="O188" si="95">G188/G180*C179</f>
        <v>216</v>
      </c>
    </row>
    <row r="189" spans="1:15">
      <c r="E189" s="4">
        <f t="shared" si="90"/>
        <v>189</v>
      </c>
      <c r="F189" s="9" t="s">
        <v>100</v>
      </c>
      <c r="K189" s="9" t="s">
        <v>139</v>
      </c>
      <c r="O189" s="23">
        <v>2</v>
      </c>
    </row>
    <row r="190" spans="1:15">
      <c r="E190" s="4">
        <f t="shared" si="90"/>
        <v>190</v>
      </c>
      <c r="F190" s="9" t="s">
        <v>127</v>
      </c>
      <c r="O190" s="23">
        <v>1000</v>
      </c>
    </row>
    <row r="191" spans="1:15">
      <c r="E191" s="4">
        <f t="shared" si="90"/>
        <v>191</v>
      </c>
      <c r="F191" s="9" t="s">
        <v>99</v>
      </c>
      <c r="O191" s="23">
        <v>1200</v>
      </c>
    </row>
    <row r="192" spans="1:15">
      <c r="A192" s="22" t="s">
        <v>231</v>
      </c>
      <c r="B192" s="22">
        <f t="shared" ref="B192" si="96">QUOTIENT( D192-1,G193)+1</f>
        <v>1</v>
      </c>
      <c r="C192" s="22">
        <f t="shared" ref="C192" si="97">D192-(B192-1)*G193</f>
        <v>10</v>
      </c>
      <c r="D192" s="22">
        <f>COUNT($D$74:$D191)+1</f>
        <v>10</v>
      </c>
      <c r="E192" s="4"/>
      <c r="F192" s="9" t="s">
        <v>231</v>
      </c>
      <c r="K192" s="9" t="s">
        <v>231</v>
      </c>
      <c r="L192" s="9" t="s">
        <v>231</v>
      </c>
      <c r="M192" s="9" t="s">
        <v>231</v>
      </c>
      <c r="N192" s="9" t="s">
        <v>231</v>
      </c>
    </row>
    <row r="193" spans="1:15">
      <c r="E193" s="4">
        <f t="shared" ref="E193:E204" si="98">ROW(E193)</f>
        <v>193</v>
      </c>
      <c r="F193" s="9" t="s">
        <v>95</v>
      </c>
      <c r="G193" s="23">
        <v>15</v>
      </c>
      <c r="H193" s="23">
        <v>4</v>
      </c>
      <c r="J193" s="23">
        <v>13400</v>
      </c>
      <c r="K193" s="9" t="s">
        <v>231</v>
      </c>
      <c r="L193" s="9" t="s">
        <v>231</v>
      </c>
      <c r="M193" s="9" t="s">
        <v>231</v>
      </c>
      <c r="N193" s="9" t="s">
        <v>231</v>
      </c>
      <c r="O193" s="23">
        <f t="shared" ref="O193" si="99">J193+D192</f>
        <v>13410</v>
      </c>
    </row>
    <row r="194" spans="1:15">
      <c r="E194" s="4">
        <f t="shared" si="98"/>
        <v>194</v>
      </c>
      <c r="F194" s="9" t="s">
        <v>145</v>
      </c>
      <c r="G194" s="23">
        <v>13301</v>
      </c>
      <c r="H194" s="23">
        <v>13302</v>
      </c>
      <c r="I194" s="23">
        <v>13303</v>
      </c>
      <c r="J194" s="23">
        <v>13304</v>
      </c>
      <c r="K194" s="9" t="s">
        <v>231</v>
      </c>
      <c r="L194" s="9" t="s">
        <v>231</v>
      </c>
      <c r="M194" s="9" t="s">
        <v>231</v>
      </c>
      <c r="N194" s="9" t="s">
        <v>231</v>
      </c>
      <c r="O194" s="23" cm="1">
        <f t="array" ref="O194">_xlfn.SWITCH(B192,1,G194,2,H194,3,I194,4,J194)</f>
        <v>13301</v>
      </c>
    </row>
    <row r="195" spans="1:15">
      <c r="E195" s="4">
        <f t="shared" si="98"/>
        <v>195</v>
      </c>
      <c r="F195" s="9" t="s">
        <v>128</v>
      </c>
      <c r="K195" s="9" t="s">
        <v>231</v>
      </c>
      <c r="L195" s="9" t="s">
        <v>231</v>
      </c>
      <c r="M195" s="9" t="s">
        <v>231</v>
      </c>
      <c r="N195" s="9" t="s">
        <v>231</v>
      </c>
      <c r="O195" s="23">
        <v>0</v>
      </c>
    </row>
    <row r="196" spans="1:15">
      <c r="E196" s="4">
        <f t="shared" si="98"/>
        <v>196</v>
      </c>
      <c r="F196" s="9" t="s">
        <v>200</v>
      </c>
      <c r="K196" s="9" t="s">
        <v>231</v>
      </c>
      <c r="L196" s="9" t="s">
        <v>231</v>
      </c>
      <c r="M196" s="9" t="s">
        <v>231</v>
      </c>
      <c r="N196" s="9" t="s">
        <v>231</v>
      </c>
      <c r="O196" s="23">
        <v>60</v>
      </c>
    </row>
    <row r="197" spans="1:15">
      <c r="E197" s="4">
        <f t="shared" si="98"/>
        <v>197</v>
      </c>
      <c r="F197" s="9" t="s">
        <v>29</v>
      </c>
      <c r="O197" s="23" t="s">
        <v>147</v>
      </c>
    </row>
    <row r="198" spans="1:15">
      <c r="E198" s="4">
        <f t="shared" si="98"/>
        <v>198</v>
      </c>
      <c r="F198" s="9" t="s">
        <v>118</v>
      </c>
      <c r="K198" s="9" t="s">
        <v>139</v>
      </c>
      <c r="O198" s="23">
        <v>2</v>
      </c>
    </row>
    <row r="199" spans="1:15">
      <c r="E199" s="4">
        <f t="shared" si="98"/>
        <v>199</v>
      </c>
      <c r="F199" s="9" t="s">
        <v>120</v>
      </c>
      <c r="G199" s="23" t="b">
        <f t="shared" ref="G199" si="100">MOD(B192,2)=0</f>
        <v>0</v>
      </c>
      <c r="H199" s="23" t="s">
        <v>146</v>
      </c>
      <c r="I199" s="23" t="s">
        <v>244</v>
      </c>
      <c r="O199" s="23" t="str">
        <f t="shared" ref="O199" si="101">IF(G199,H199,I199)</f>
        <v>Shot5_red</v>
      </c>
    </row>
    <row r="200" spans="1:15">
      <c r="E200" s="4">
        <f t="shared" si="98"/>
        <v>200</v>
      </c>
      <c r="F200" s="9" t="s">
        <v>30</v>
      </c>
      <c r="H200" s="23">
        <v>1.5</v>
      </c>
      <c r="I200" s="23">
        <v>1</v>
      </c>
      <c r="O200" s="23">
        <f t="shared" ref="O200" si="102">IF(B192&lt;=2,H200,I200)</f>
        <v>1.5</v>
      </c>
    </row>
    <row r="201" spans="1:15">
      <c r="E201" s="4">
        <f t="shared" si="98"/>
        <v>201</v>
      </c>
      <c r="F201" s="9" t="s">
        <v>31</v>
      </c>
      <c r="G201" s="23">
        <v>360</v>
      </c>
      <c r="L201" s="9" t="s">
        <v>136</v>
      </c>
      <c r="O201" s="23">
        <f t="shared" ref="O201" si="103">G201/G193*C192</f>
        <v>240</v>
      </c>
    </row>
    <row r="202" spans="1:15">
      <c r="E202" s="4">
        <f t="shared" si="98"/>
        <v>202</v>
      </c>
      <c r="F202" s="9" t="s">
        <v>100</v>
      </c>
      <c r="K202" s="9" t="s">
        <v>139</v>
      </c>
      <c r="O202" s="23">
        <v>2</v>
      </c>
    </row>
    <row r="203" spans="1:15">
      <c r="E203" s="4">
        <f t="shared" si="98"/>
        <v>203</v>
      </c>
      <c r="F203" s="9" t="s">
        <v>127</v>
      </c>
      <c r="O203" s="23">
        <v>1000</v>
      </c>
    </row>
    <row r="204" spans="1:15">
      <c r="E204" s="4">
        <f t="shared" si="98"/>
        <v>204</v>
      </c>
      <c r="F204" s="9" t="s">
        <v>99</v>
      </c>
      <c r="H204" s="9"/>
      <c r="J204" s="9"/>
      <c r="O204" s="23">
        <v>1200</v>
      </c>
    </row>
    <row r="205" spans="1:15">
      <c r="A205" s="22" t="s">
        <v>231</v>
      </c>
      <c r="B205" s="22">
        <f t="shared" ref="B205" si="104">QUOTIENT( D205-1,G206)+1</f>
        <v>1</v>
      </c>
      <c r="C205" s="22">
        <f t="shared" ref="C205" si="105">D205-(B205-1)*G206</f>
        <v>11</v>
      </c>
      <c r="D205" s="22">
        <f>COUNT($D$74:$D204)+1</f>
        <v>11</v>
      </c>
      <c r="E205" s="4"/>
      <c r="F205" s="9" t="s">
        <v>231</v>
      </c>
      <c r="H205" s="9"/>
      <c r="J205" s="9"/>
      <c r="K205" s="9" t="s">
        <v>231</v>
      </c>
      <c r="L205" s="9" t="s">
        <v>231</v>
      </c>
      <c r="M205" s="9" t="s">
        <v>231</v>
      </c>
      <c r="N205" s="9" t="s">
        <v>231</v>
      </c>
    </row>
    <row r="206" spans="1:15">
      <c r="E206" s="4">
        <f t="shared" ref="E206:E217" si="106">ROW(E206)</f>
        <v>206</v>
      </c>
      <c r="F206" s="9" t="s">
        <v>95</v>
      </c>
      <c r="G206" s="23">
        <v>15</v>
      </c>
      <c r="H206" s="23">
        <v>4</v>
      </c>
      <c r="J206" s="23">
        <v>13400</v>
      </c>
      <c r="K206" s="9" t="s">
        <v>231</v>
      </c>
      <c r="L206" s="9" t="s">
        <v>231</v>
      </c>
      <c r="M206" s="9" t="s">
        <v>231</v>
      </c>
      <c r="N206" s="9" t="s">
        <v>231</v>
      </c>
      <c r="O206" s="23">
        <f t="shared" ref="O206" si="107">J206+D205</f>
        <v>13411</v>
      </c>
    </row>
    <row r="207" spans="1:15">
      <c r="E207" s="4">
        <f t="shared" si="106"/>
        <v>207</v>
      </c>
      <c r="F207" s="9" t="s">
        <v>145</v>
      </c>
      <c r="G207" s="23">
        <v>13301</v>
      </c>
      <c r="H207" s="23">
        <v>13302</v>
      </c>
      <c r="I207" s="23">
        <v>13303</v>
      </c>
      <c r="J207" s="23">
        <v>13304</v>
      </c>
      <c r="K207" s="9" t="s">
        <v>231</v>
      </c>
      <c r="L207" s="9" t="s">
        <v>231</v>
      </c>
      <c r="M207" s="9" t="s">
        <v>231</v>
      </c>
      <c r="N207" s="9" t="s">
        <v>231</v>
      </c>
      <c r="O207" s="23" cm="1">
        <f t="array" ref="O207">_xlfn.SWITCH(B205,1,G207,2,H207,3,I207,4,J207)</f>
        <v>13301</v>
      </c>
    </row>
    <row r="208" spans="1:15">
      <c r="E208" s="4">
        <f t="shared" si="106"/>
        <v>208</v>
      </c>
      <c r="F208" s="9" t="s">
        <v>128</v>
      </c>
      <c r="G208" s="9"/>
      <c r="H208" s="9"/>
      <c r="I208" s="9"/>
      <c r="J208" s="9"/>
      <c r="K208" s="9" t="s">
        <v>231</v>
      </c>
      <c r="L208" s="9" t="s">
        <v>231</v>
      </c>
      <c r="M208" s="9" t="s">
        <v>231</v>
      </c>
      <c r="N208" s="9" t="s">
        <v>231</v>
      </c>
      <c r="O208" s="23">
        <v>0</v>
      </c>
    </row>
    <row r="209" spans="1:15">
      <c r="E209" s="4">
        <f t="shared" si="106"/>
        <v>209</v>
      </c>
      <c r="F209" s="9" t="s">
        <v>200</v>
      </c>
      <c r="K209" s="9" t="s">
        <v>231</v>
      </c>
      <c r="L209" s="9" t="s">
        <v>231</v>
      </c>
      <c r="M209" s="9" t="s">
        <v>231</v>
      </c>
      <c r="N209" s="9" t="s">
        <v>231</v>
      </c>
      <c r="O209" s="23">
        <v>60</v>
      </c>
    </row>
    <row r="210" spans="1:15">
      <c r="E210" s="4">
        <f t="shared" si="106"/>
        <v>210</v>
      </c>
      <c r="F210" s="9" t="s">
        <v>29</v>
      </c>
      <c r="O210" s="23" t="s">
        <v>147</v>
      </c>
    </row>
    <row r="211" spans="1:15">
      <c r="E211" s="4">
        <f t="shared" si="106"/>
        <v>211</v>
      </c>
      <c r="F211" s="9" t="s">
        <v>118</v>
      </c>
      <c r="K211" s="9" t="s">
        <v>139</v>
      </c>
      <c r="O211" s="23">
        <v>2</v>
      </c>
    </row>
    <row r="212" spans="1:15">
      <c r="E212" s="4">
        <f t="shared" si="106"/>
        <v>212</v>
      </c>
      <c r="F212" s="9" t="s">
        <v>120</v>
      </c>
      <c r="G212" s="23" t="b">
        <f t="shared" ref="G212" si="108">MOD(B205,2)=0</f>
        <v>0</v>
      </c>
      <c r="H212" s="23" t="s">
        <v>146</v>
      </c>
      <c r="I212" s="23" t="s">
        <v>244</v>
      </c>
      <c r="O212" s="23" t="str">
        <f t="shared" ref="O212" si="109">IF(G212,H212,I212)</f>
        <v>Shot5_red</v>
      </c>
    </row>
    <row r="213" spans="1:15">
      <c r="E213" s="4">
        <f t="shared" si="106"/>
        <v>213</v>
      </c>
      <c r="F213" s="9" t="s">
        <v>30</v>
      </c>
      <c r="H213" s="23">
        <v>1.5</v>
      </c>
      <c r="I213" s="23">
        <v>1</v>
      </c>
      <c r="O213" s="23">
        <f t="shared" ref="O213" si="110">IF(B205&lt;=2,H213,I213)</f>
        <v>1.5</v>
      </c>
    </row>
    <row r="214" spans="1:15">
      <c r="E214" s="4">
        <f t="shared" si="106"/>
        <v>214</v>
      </c>
      <c r="F214" s="9" t="s">
        <v>31</v>
      </c>
      <c r="G214" s="23">
        <v>360</v>
      </c>
      <c r="L214" s="9" t="s">
        <v>136</v>
      </c>
      <c r="O214" s="23">
        <f t="shared" ref="O214" si="111">G214/G206*C205</f>
        <v>264</v>
      </c>
    </row>
    <row r="215" spans="1:15">
      <c r="E215" s="4">
        <f t="shared" si="106"/>
        <v>215</v>
      </c>
      <c r="F215" s="9" t="s">
        <v>100</v>
      </c>
      <c r="K215" s="9" t="s">
        <v>139</v>
      </c>
      <c r="O215" s="23">
        <v>2</v>
      </c>
    </row>
    <row r="216" spans="1:15">
      <c r="E216" s="4">
        <f t="shared" si="106"/>
        <v>216</v>
      </c>
      <c r="F216" s="9" t="s">
        <v>127</v>
      </c>
      <c r="O216" s="23">
        <v>1000</v>
      </c>
    </row>
    <row r="217" spans="1:15">
      <c r="E217" s="4">
        <f t="shared" si="106"/>
        <v>217</v>
      </c>
      <c r="F217" s="9" t="s">
        <v>99</v>
      </c>
      <c r="O217" s="23">
        <v>1200</v>
      </c>
    </row>
    <row r="218" spans="1:15">
      <c r="A218" s="22" t="s">
        <v>231</v>
      </c>
      <c r="B218" s="22">
        <f t="shared" ref="B218" si="112">QUOTIENT( D218-1,G219)+1</f>
        <v>1</v>
      </c>
      <c r="C218" s="22">
        <f t="shared" ref="C218" si="113">D218-(B218-1)*G219</f>
        <v>12</v>
      </c>
      <c r="D218" s="22">
        <f>COUNT($D$74:$D217)+1</f>
        <v>12</v>
      </c>
      <c r="E218" s="4"/>
      <c r="F218" s="9" t="s">
        <v>231</v>
      </c>
      <c r="K218" s="9" t="s">
        <v>231</v>
      </c>
      <c r="L218" s="9" t="s">
        <v>231</v>
      </c>
      <c r="M218" s="9" t="s">
        <v>231</v>
      </c>
      <c r="N218" s="9" t="s">
        <v>231</v>
      </c>
    </row>
    <row r="219" spans="1:15">
      <c r="E219" s="4">
        <f t="shared" ref="E219:E230" si="114">ROW(E219)</f>
        <v>219</v>
      </c>
      <c r="F219" s="9" t="s">
        <v>95</v>
      </c>
      <c r="G219" s="23">
        <v>15</v>
      </c>
      <c r="H219" s="23">
        <v>4</v>
      </c>
      <c r="J219" s="23">
        <v>13400</v>
      </c>
      <c r="K219" s="9" t="s">
        <v>231</v>
      </c>
      <c r="L219" s="9" t="s">
        <v>231</v>
      </c>
      <c r="M219" s="9" t="s">
        <v>231</v>
      </c>
      <c r="N219" s="9" t="s">
        <v>231</v>
      </c>
      <c r="O219" s="23">
        <f t="shared" ref="O219" si="115">J219+D218</f>
        <v>13412</v>
      </c>
    </row>
    <row r="220" spans="1:15">
      <c r="E220" s="4">
        <f t="shared" si="114"/>
        <v>220</v>
      </c>
      <c r="F220" s="9" t="s">
        <v>145</v>
      </c>
      <c r="G220" s="23">
        <v>13301</v>
      </c>
      <c r="H220" s="23">
        <v>13302</v>
      </c>
      <c r="I220" s="23">
        <v>13303</v>
      </c>
      <c r="J220" s="23">
        <v>13304</v>
      </c>
      <c r="K220" s="9" t="s">
        <v>231</v>
      </c>
      <c r="L220" s="9" t="s">
        <v>231</v>
      </c>
      <c r="M220" s="9" t="s">
        <v>231</v>
      </c>
      <c r="N220" s="9" t="s">
        <v>231</v>
      </c>
      <c r="O220" s="23" cm="1">
        <f t="array" ref="O220">_xlfn.SWITCH(B218,1,G220,2,H220,3,I220,4,J220)</f>
        <v>13301</v>
      </c>
    </row>
    <row r="221" spans="1:15">
      <c r="E221" s="4">
        <f t="shared" si="114"/>
        <v>221</v>
      </c>
      <c r="F221" s="9" t="s">
        <v>128</v>
      </c>
      <c r="K221" s="9" t="s">
        <v>231</v>
      </c>
      <c r="L221" s="9" t="s">
        <v>231</v>
      </c>
      <c r="M221" s="9" t="s">
        <v>231</v>
      </c>
      <c r="N221" s="9" t="s">
        <v>231</v>
      </c>
      <c r="O221" s="23">
        <v>0</v>
      </c>
    </row>
    <row r="222" spans="1:15">
      <c r="E222" s="4">
        <f t="shared" si="114"/>
        <v>222</v>
      </c>
      <c r="F222" s="9" t="s">
        <v>200</v>
      </c>
      <c r="K222" s="9" t="s">
        <v>231</v>
      </c>
      <c r="L222" s="9" t="s">
        <v>231</v>
      </c>
      <c r="M222" s="9" t="s">
        <v>231</v>
      </c>
      <c r="N222" s="9" t="s">
        <v>231</v>
      </c>
      <c r="O222" s="23">
        <v>60</v>
      </c>
    </row>
    <row r="223" spans="1:15">
      <c r="E223" s="4">
        <f t="shared" si="114"/>
        <v>223</v>
      </c>
      <c r="F223" s="9" t="s">
        <v>29</v>
      </c>
      <c r="O223" s="23" t="s">
        <v>147</v>
      </c>
    </row>
    <row r="224" spans="1:15">
      <c r="E224" s="4">
        <f t="shared" si="114"/>
        <v>224</v>
      </c>
      <c r="F224" s="9" t="s">
        <v>118</v>
      </c>
      <c r="K224" s="9" t="s">
        <v>139</v>
      </c>
      <c r="O224" s="23">
        <v>2</v>
      </c>
    </row>
    <row r="225" spans="1:15">
      <c r="E225" s="4">
        <f t="shared" si="114"/>
        <v>225</v>
      </c>
      <c r="F225" s="9" t="s">
        <v>120</v>
      </c>
      <c r="G225" s="23" t="b">
        <f t="shared" ref="G225" si="116">MOD(B218,2)=0</f>
        <v>0</v>
      </c>
      <c r="H225" s="23" t="s">
        <v>146</v>
      </c>
      <c r="I225" s="23" t="s">
        <v>244</v>
      </c>
      <c r="O225" s="23" t="str">
        <f t="shared" ref="O225" si="117">IF(G225,H225,I225)</f>
        <v>Shot5_red</v>
      </c>
    </row>
    <row r="226" spans="1:15">
      <c r="E226" s="4">
        <f t="shared" si="114"/>
        <v>226</v>
      </c>
      <c r="F226" s="9" t="s">
        <v>30</v>
      </c>
      <c r="H226" s="23">
        <v>1.5</v>
      </c>
      <c r="I226" s="23">
        <v>1</v>
      </c>
      <c r="O226" s="23">
        <f t="shared" ref="O226" si="118">IF(B218&lt;=2,H226,I226)</f>
        <v>1.5</v>
      </c>
    </row>
    <row r="227" spans="1:15">
      <c r="E227" s="4">
        <f t="shared" si="114"/>
        <v>227</v>
      </c>
      <c r="F227" s="9" t="s">
        <v>31</v>
      </c>
      <c r="G227" s="23">
        <v>360</v>
      </c>
      <c r="H227" s="9"/>
      <c r="J227" s="9"/>
      <c r="L227" s="9" t="s">
        <v>136</v>
      </c>
      <c r="O227" s="23">
        <f t="shared" ref="O227" si="119">G227/G219*C218</f>
        <v>288</v>
      </c>
    </row>
    <row r="228" spans="1:15">
      <c r="E228" s="4">
        <f t="shared" si="114"/>
        <v>228</v>
      </c>
      <c r="F228" s="9" t="s">
        <v>100</v>
      </c>
      <c r="H228" s="9"/>
      <c r="J228" s="9"/>
      <c r="K228" s="9" t="s">
        <v>139</v>
      </c>
      <c r="O228" s="23">
        <v>2</v>
      </c>
    </row>
    <row r="229" spans="1:15">
      <c r="E229" s="4">
        <f t="shared" si="114"/>
        <v>229</v>
      </c>
      <c r="F229" s="9" t="s">
        <v>127</v>
      </c>
      <c r="O229" s="23">
        <v>1000</v>
      </c>
    </row>
    <row r="230" spans="1:15">
      <c r="E230" s="4">
        <f t="shared" si="114"/>
        <v>230</v>
      </c>
      <c r="F230" s="9" t="s">
        <v>99</v>
      </c>
      <c r="O230" s="23">
        <v>1200</v>
      </c>
    </row>
    <row r="231" spans="1:15">
      <c r="A231" s="22" t="s">
        <v>231</v>
      </c>
      <c r="B231" s="22">
        <f t="shared" ref="B231" si="120">QUOTIENT( D231-1,G232)+1</f>
        <v>1</v>
      </c>
      <c r="C231" s="22">
        <f t="shared" ref="C231" si="121">D231-(B231-1)*G232</f>
        <v>13</v>
      </c>
      <c r="D231" s="22">
        <f>COUNT($D$74:$D230)+1</f>
        <v>13</v>
      </c>
      <c r="E231" s="4"/>
      <c r="F231" s="9" t="s">
        <v>231</v>
      </c>
      <c r="G231" s="9"/>
      <c r="H231" s="9"/>
      <c r="I231" s="9"/>
      <c r="J231" s="9"/>
      <c r="K231" s="9" t="s">
        <v>231</v>
      </c>
      <c r="L231" s="9" t="s">
        <v>231</v>
      </c>
      <c r="M231" s="9" t="s">
        <v>231</v>
      </c>
      <c r="N231" s="9" t="s">
        <v>231</v>
      </c>
    </row>
    <row r="232" spans="1:15">
      <c r="E232" s="4">
        <f t="shared" ref="E232:E243" si="122">ROW(E232)</f>
        <v>232</v>
      </c>
      <c r="F232" s="9" t="s">
        <v>95</v>
      </c>
      <c r="G232" s="23">
        <v>15</v>
      </c>
      <c r="H232" s="23">
        <v>4</v>
      </c>
      <c r="J232" s="23">
        <v>13400</v>
      </c>
      <c r="K232" s="9" t="s">
        <v>231</v>
      </c>
      <c r="L232" s="9" t="s">
        <v>231</v>
      </c>
      <c r="M232" s="9" t="s">
        <v>231</v>
      </c>
      <c r="N232" s="9" t="s">
        <v>231</v>
      </c>
      <c r="O232" s="23">
        <f t="shared" ref="O232" si="123">J232+D231</f>
        <v>13413</v>
      </c>
    </row>
    <row r="233" spans="1:15">
      <c r="E233" s="4">
        <f t="shared" si="122"/>
        <v>233</v>
      </c>
      <c r="F233" s="9" t="s">
        <v>145</v>
      </c>
      <c r="G233" s="23">
        <v>13301</v>
      </c>
      <c r="H233" s="23">
        <v>13302</v>
      </c>
      <c r="I233" s="23">
        <v>13303</v>
      </c>
      <c r="J233" s="23">
        <v>13304</v>
      </c>
      <c r="K233" s="9" t="s">
        <v>231</v>
      </c>
      <c r="L233" s="9" t="s">
        <v>231</v>
      </c>
      <c r="M233" s="9" t="s">
        <v>231</v>
      </c>
      <c r="N233" s="9" t="s">
        <v>231</v>
      </c>
      <c r="O233" s="23" cm="1">
        <f t="array" ref="O233">_xlfn.SWITCH(B231,1,G233,2,H233,3,I233,4,J233)</f>
        <v>13301</v>
      </c>
    </row>
    <row r="234" spans="1:15">
      <c r="E234" s="4">
        <f t="shared" si="122"/>
        <v>234</v>
      </c>
      <c r="F234" s="9" t="s">
        <v>128</v>
      </c>
      <c r="K234" s="9" t="s">
        <v>231</v>
      </c>
      <c r="L234" s="9" t="s">
        <v>231</v>
      </c>
      <c r="M234" s="9" t="s">
        <v>231</v>
      </c>
      <c r="N234" s="9" t="s">
        <v>231</v>
      </c>
      <c r="O234" s="23">
        <v>0</v>
      </c>
    </row>
    <row r="235" spans="1:15">
      <c r="E235" s="4">
        <f t="shared" si="122"/>
        <v>235</v>
      </c>
      <c r="F235" s="9" t="s">
        <v>200</v>
      </c>
      <c r="K235" s="9" t="s">
        <v>231</v>
      </c>
      <c r="L235" s="9" t="s">
        <v>231</v>
      </c>
      <c r="M235" s="9" t="s">
        <v>231</v>
      </c>
      <c r="N235" s="9" t="s">
        <v>231</v>
      </c>
      <c r="O235" s="23">
        <v>60</v>
      </c>
    </row>
    <row r="236" spans="1:15">
      <c r="E236" s="4">
        <f t="shared" si="122"/>
        <v>236</v>
      </c>
      <c r="F236" s="9" t="s">
        <v>29</v>
      </c>
      <c r="O236" s="23" t="s">
        <v>147</v>
      </c>
    </row>
    <row r="237" spans="1:15">
      <c r="E237" s="4">
        <f t="shared" si="122"/>
        <v>237</v>
      </c>
      <c r="F237" s="9" t="s">
        <v>118</v>
      </c>
      <c r="K237" s="9" t="s">
        <v>139</v>
      </c>
      <c r="O237" s="23">
        <v>2</v>
      </c>
    </row>
    <row r="238" spans="1:15">
      <c r="E238" s="4">
        <f t="shared" si="122"/>
        <v>238</v>
      </c>
      <c r="F238" s="9" t="s">
        <v>120</v>
      </c>
      <c r="G238" s="23" t="b">
        <f t="shared" ref="G238" si="124">MOD(B231,2)=0</f>
        <v>0</v>
      </c>
      <c r="H238" s="23" t="s">
        <v>146</v>
      </c>
      <c r="I238" s="23" t="s">
        <v>244</v>
      </c>
      <c r="O238" s="23" t="str">
        <f t="shared" ref="O238" si="125">IF(G238,H238,I238)</f>
        <v>Shot5_red</v>
      </c>
    </row>
    <row r="239" spans="1:15">
      <c r="E239" s="4">
        <f t="shared" si="122"/>
        <v>239</v>
      </c>
      <c r="F239" s="9" t="s">
        <v>30</v>
      </c>
      <c r="H239" s="23">
        <v>1.5</v>
      </c>
      <c r="I239" s="23">
        <v>1</v>
      </c>
      <c r="O239" s="23">
        <f t="shared" ref="O239" si="126">IF(B231&lt;=2,H239,I239)</f>
        <v>1.5</v>
      </c>
    </row>
    <row r="240" spans="1:15">
      <c r="E240" s="4">
        <f t="shared" si="122"/>
        <v>240</v>
      </c>
      <c r="F240" s="9" t="s">
        <v>31</v>
      </c>
      <c r="G240" s="23">
        <v>360</v>
      </c>
      <c r="L240" s="9" t="s">
        <v>136</v>
      </c>
      <c r="O240" s="23">
        <f t="shared" ref="O240" si="127">G240/G232*C231</f>
        <v>312</v>
      </c>
    </row>
    <row r="241" spans="1:15">
      <c r="E241" s="4">
        <f t="shared" si="122"/>
        <v>241</v>
      </c>
      <c r="F241" s="9" t="s">
        <v>100</v>
      </c>
      <c r="K241" s="9" t="s">
        <v>139</v>
      </c>
      <c r="O241" s="23">
        <v>2</v>
      </c>
    </row>
    <row r="242" spans="1:15">
      <c r="E242" s="4">
        <f t="shared" si="122"/>
        <v>242</v>
      </c>
      <c r="F242" s="9" t="s">
        <v>127</v>
      </c>
      <c r="O242" s="23">
        <v>1000</v>
      </c>
    </row>
    <row r="243" spans="1:15">
      <c r="E243" s="4">
        <f t="shared" si="122"/>
        <v>243</v>
      </c>
      <c r="F243" s="9" t="s">
        <v>99</v>
      </c>
      <c r="O243" s="23">
        <v>1200</v>
      </c>
    </row>
    <row r="244" spans="1:15">
      <c r="A244" s="22" t="s">
        <v>231</v>
      </c>
      <c r="B244" s="22">
        <f t="shared" ref="B244" si="128">QUOTIENT( D244-1,G245)+1</f>
        <v>1</v>
      </c>
      <c r="C244" s="22">
        <f t="shared" ref="C244" si="129">D244-(B244-1)*G245</f>
        <v>14</v>
      </c>
      <c r="D244" s="22">
        <f>COUNT($D$74:$D243)+1</f>
        <v>14</v>
      </c>
      <c r="E244" s="4"/>
      <c r="F244" s="9" t="s">
        <v>231</v>
      </c>
      <c r="K244" s="9" t="s">
        <v>231</v>
      </c>
      <c r="L244" s="9" t="s">
        <v>231</v>
      </c>
      <c r="M244" s="9" t="s">
        <v>231</v>
      </c>
      <c r="N244" s="9" t="s">
        <v>231</v>
      </c>
    </row>
    <row r="245" spans="1:15">
      <c r="E245" s="4">
        <f t="shared" ref="E245:E256" si="130">ROW(E245)</f>
        <v>245</v>
      </c>
      <c r="F245" s="9" t="s">
        <v>95</v>
      </c>
      <c r="G245" s="23">
        <v>15</v>
      </c>
      <c r="H245" s="23">
        <v>4</v>
      </c>
      <c r="J245" s="23">
        <v>13400</v>
      </c>
      <c r="K245" s="9" t="s">
        <v>231</v>
      </c>
      <c r="L245" s="9" t="s">
        <v>231</v>
      </c>
      <c r="M245" s="9" t="s">
        <v>231</v>
      </c>
      <c r="N245" s="9" t="s">
        <v>231</v>
      </c>
      <c r="O245" s="23">
        <f t="shared" ref="O245" si="131">J245+D244</f>
        <v>13414</v>
      </c>
    </row>
    <row r="246" spans="1:15">
      <c r="E246" s="4">
        <f t="shared" si="130"/>
        <v>246</v>
      </c>
      <c r="F246" s="9" t="s">
        <v>145</v>
      </c>
      <c r="G246" s="23">
        <v>13301</v>
      </c>
      <c r="H246" s="23">
        <v>13302</v>
      </c>
      <c r="I246" s="23">
        <v>13303</v>
      </c>
      <c r="J246" s="23">
        <v>13304</v>
      </c>
      <c r="K246" s="9" t="s">
        <v>231</v>
      </c>
      <c r="L246" s="9" t="s">
        <v>231</v>
      </c>
      <c r="M246" s="9" t="s">
        <v>231</v>
      </c>
      <c r="N246" s="9" t="s">
        <v>231</v>
      </c>
      <c r="O246" s="23" cm="1">
        <f t="array" ref="O246">_xlfn.SWITCH(B244,1,G246,2,H246,3,I246,4,J246)</f>
        <v>13301</v>
      </c>
    </row>
    <row r="247" spans="1:15">
      <c r="E247" s="4">
        <f t="shared" si="130"/>
        <v>247</v>
      </c>
      <c r="F247" s="9" t="s">
        <v>128</v>
      </c>
      <c r="K247" s="9" t="s">
        <v>231</v>
      </c>
      <c r="L247" s="9" t="s">
        <v>231</v>
      </c>
      <c r="M247" s="9" t="s">
        <v>231</v>
      </c>
      <c r="N247" s="9" t="s">
        <v>231</v>
      </c>
      <c r="O247" s="23">
        <v>0</v>
      </c>
    </row>
    <row r="248" spans="1:15">
      <c r="E248" s="4">
        <f t="shared" si="130"/>
        <v>248</v>
      </c>
      <c r="F248" s="9" t="s">
        <v>200</v>
      </c>
      <c r="K248" s="9" t="s">
        <v>231</v>
      </c>
      <c r="L248" s="9" t="s">
        <v>231</v>
      </c>
      <c r="M248" s="9" t="s">
        <v>231</v>
      </c>
      <c r="N248" s="9" t="s">
        <v>231</v>
      </c>
      <c r="O248" s="23">
        <v>60</v>
      </c>
    </row>
    <row r="249" spans="1:15">
      <c r="E249" s="4">
        <f t="shared" si="130"/>
        <v>249</v>
      </c>
      <c r="F249" s="9" t="s">
        <v>29</v>
      </c>
      <c r="O249" s="23" t="s">
        <v>147</v>
      </c>
    </row>
    <row r="250" spans="1:15">
      <c r="E250" s="4">
        <f t="shared" si="130"/>
        <v>250</v>
      </c>
      <c r="F250" s="9" t="s">
        <v>118</v>
      </c>
      <c r="H250" s="9"/>
      <c r="J250" s="9"/>
      <c r="K250" s="9" t="s">
        <v>139</v>
      </c>
      <c r="O250" s="23">
        <v>2</v>
      </c>
    </row>
    <row r="251" spans="1:15">
      <c r="E251" s="4">
        <f t="shared" si="130"/>
        <v>251</v>
      </c>
      <c r="F251" s="9" t="s">
        <v>120</v>
      </c>
      <c r="G251" s="23" t="b">
        <f t="shared" ref="G251" si="132">MOD(B244,2)=0</f>
        <v>0</v>
      </c>
      <c r="H251" s="9" t="s">
        <v>146</v>
      </c>
      <c r="I251" s="23" t="s">
        <v>244</v>
      </c>
      <c r="J251" s="9"/>
      <c r="O251" s="23" t="str">
        <f t="shared" ref="O251" si="133">IF(G251,H251,I251)</f>
        <v>Shot5_red</v>
      </c>
    </row>
    <row r="252" spans="1:15">
      <c r="E252" s="4">
        <f t="shared" si="130"/>
        <v>252</v>
      </c>
      <c r="F252" s="9" t="s">
        <v>30</v>
      </c>
      <c r="H252" s="23">
        <v>1.5</v>
      </c>
      <c r="I252" s="23">
        <v>1</v>
      </c>
      <c r="O252" s="23">
        <f t="shared" ref="O252" si="134">IF(B244&lt;=2,H252,I252)</f>
        <v>1.5</v>
      </c>
    </row>
    <row r="253" spans="1:15">
      <c r="E253" s="4">
        <f t="shared" si="130"/>
        <v>253</v>
      </c>
      <c r="F253" s="9" t="s">
        <v>31</v>
      </c>
      <c r="G253" s="23">
        <v>360</v>
      </c>
      <c r="L253" s="9" t="s">
        <v>136</v>
      </c>
      <c r="O253" s="23">
        <f t="shared" ref="O253" si="135">G253/G245*C244</f>
        <v>336</v>
      </c>
    </row>
    <row r="254" spans="1:15">
      <c r="E254" s="4">
        <f t="shared" si="130"/>
        <v>254</v>
      </c>
      <c r="F254" s="9" t="s">
        <v>100</v>
      </c>
      <c r="G254" s="9"/>
      <c r="H254" s="9"/>
      <c r="I254" s="9"/>
      <c r="J254" s="9"/>
      <c r="K254" s="9" t="s">
        <v>139</v>
      </c>
      <c r="O254" s="23">
        <v>2</v>
      </c>
    </row>
    <row r="255" spans="1:15">
      <c r="E255" s="4">
        <f t="shared" si="130"/>
        <v>255</v>
      </c>
      <c r="F255" s="9" t="s">
        <v>127</v>
      </c>
      <c r="O255" s="23">
        <v>1000</v>
      </c>
    </row>
    <row r="256" spans="1:15">
      <c r="E256" s="4">
        <f t="shared" si="130"/>
        <v>256</v>
      </c>
      <c r="F256" s="9" t="s">
        <v>99</v>
      </c>
      <c r="O256" s="23">
        <v>1200</v>
      </c>
    </row>
    <row r="257" spans="1:15">
      <c r="A257" s="22" t="s">
        <v>231</v>
      </c>
      <c r="B257" s="22">
        <f t="shared" ref="B257" si="136">QUOTIENT( D257-1,G258)+1</f>
        <v>1</v>
      </c>
      <c r="C257" s="22">
        <f t="shared" ref="C257" si="137">D257-(B257-1)*G258</f>
        <v>15</v>
      </c>
      <c r="D257" s="22">
        <f>COUNT($D$74:$D256)+1</f>
        <v>15</v>
      </c>
      <c r="E257" s="4"/>
      <c r="F257" s="9" t="s">
        <v>231</v>
      </c>
      <c r="K257" s="9" t="s">
        <v>231</v>
      </c>
      <c r="L257" s="9" t="s">
        <v>231</v>
      </c>
      <c r="M257" s="9" t="s">
        <v>231</v>
      </c>
      <c r="N257" s="9" t="s">
        <v>231</v>
      </c>
    </row>
    <row r="258" spans="1:15">
      <c r="E258" s="4">
        <f t="shared" ref="E258:E269" si="138">ROW(E258)</f>
        <v>258</v>
      </c>
      <c r="F258" s="9" t="s">
        <v>95</v>
      </c>
      <c r="G258" s="23">
        <v>15</v>
      </c>
      <c r="H258" s="23">
        <v>4</v>
      </c>
      <c r="J258" s="23">
        <v>13400</v>
      </c>
      <c r="K258" s="9" t="s">
        <v>231</v>
      </c>
      <c r="L258" s="9" t="s">
        <v>231</v>
      </c>
      <c r="M258" s="9" t="s">
        <v>231</v>
      </c>
      <c r="N258" s="9" t="s">
        <v>231</v>
      </c>
      <c r="O258" s="23">
        <f t="shared" ref="O258" si="139">J258+D257</f>
        <v>13415</v>
      </c>
    </row>
    <row r="259" spans="1:15">
      <c r="E259" s="4">
        <f t="shared" si="138"/>
        <v>259</v>
      </c>
      <c r="F259" s="9" t="s">
        <v>145</v>
      </c>
      <c r="G259" s="23">
        <v>13301</v>
      </c>
      <c r="H259" s="23">
        <v>13302</v>
      </c>
      <c r="I259" s="23">
        <v>13303</v>
      </c>
      <c r="J259" s="23">
        <v>13304</v>
      </c>
      <c r="K259" s="9" t="s">
        <v>231</v>
      </c>
      <c r="L259" s="9" t="s">
        <v>231</v>
      </c>
      <c r="M259" s="9" t="s">
        <v>231</v>
      </c>
      <c r="N259" s="9" t="s">
        <v>231</v>
      </c>
      <c r="O259" s="23" cm="1">
        <f t="array" ref="O259">_xlfn.SWITCH(B257,1,G259,2,H259,3,I259,4,J259)</f>
        <v>13301</v>
      </c>
    </row>
    <row r="260" spans="1:15">
      <c r="E260" s="4">
        <f t="shared" si="138"/>
        <v>260</v>
      </c>
      <c r="F260" s="9" t="s">
        <v>128</v>
      </c>
      <c r="K260" s="9" t="s">
        <v>231</v>
      </c>
      <c r="L260" s="9" t="s">
        <v>231</v>
      </c>
      <c r="M260" s="9" t="s">
        <v>231</v>
      </c>
      <c r="N260" s="9" t="s">
        <v>231</v>
      </c>
      <c r="O260" s="23">
        <v>0</v>
      </c>
    </row>
    <row r="261" spans="1:15">
      <c r="E261" s="4">
        <f t="shared" si="138"/>
        <v>261</v>
      </c>
      <c r="F261" s="9" t="s">
        <v>200</v>
      </c>
      <c r="K261" s="9" t="s">
        <v>231</v>
      </c>
      <c r="L261" s="9" t="s">
        <v>231</v>
      </c>
      <c r="M261" s="9" t="s">
        <v>231</v>
      </c>
      <c r="N261" s="9" t="s">
        <v>231</v>
      </c>
      <c r="O261" s="23">
        <v>60</v>
      </c>
    </row>
    <row r="262" spans="1:15">
      <c r="E262" s="4">
        <f t="shared" si="138"/>
        <v>262</v>
      </c>
      <c r="F262" s="9" t="s">
        <v>29</v>
      </c>
      <c r="O262" s="23" t="s">
        <v>147</v>
      </c>
    </row>
    <row r="263" spans="1:15">
      <c r="E263" s="4">
        <f t="shared" si="138"/>
        <v>263</v>
      </c>
      <c r="F263" s="9" t="s">
        <v>118</v>
      </c>
      <c r="K263" s="9" t="s">
        <v>139</v>
      </c>
      <c r="O263" s="23">
        <v>2</v>
      </c>
    </row>
    <row r="264" spans="1:15">
      <c r="E264" s="4">
        <f t="shared" si="138"/>
        <v>264</v>
      </c>
      <c r="F264" s="9" t="s">
        <v>120</v>
      </c>
      <c r="G264" s="23" t="b">
        <f t="shared" ref="G264" si="140">MOD(B257,2)=0</f>
        <v>0</v>
      </c>
      <c r="H264" s="23" t="s">
        <v>146</v>
      </c>
      <c r="I264" s="23" t="s">
        <v>244</v>
      </c>
      <c r="O264" s="23" t="str">
        <f t="shared" ref="O264" si="141">IF(G264,H264,I264)</f>
        <v>Shot5_red</v>
      </c>
    </row>
    <row r="265" spans="1:15">
      <c r="E265" s="4">
        <f t="shared" si="138"/>
        <v>265</v>
      </c>
      <c r="F265" s="9" t="s">
        <v>30</v>
      </c>
      <c r="H265" s="23">
        <v>1.5</v>
      </c>
      <c r="I265" s="23">
        <v>1</v>
      </c>
      <c r="O265" s="23">
        <f t="shared" ref="O265" si="142">IF(B257&lt;=2,H265,I265)</f>
        <v>1.5</v>
      </c>
    </row>
    <row r="266" spans="1:15">
      <c r="E266" s="4">
        <f t="shared" si="138"/>
        <v>266</v>
      </c>
      <c r="F266" s="9" t="s">
        <v>31</v>
      </c>
      <c r="G266" s="23">
        <v>360</v>
      </c>
      <c r="L266" s="9" t="s">
        <v>136</v>
      </c>
      <c r="O266" s="23">
        <f t="shared" ref="O266" si="143">G266/G258*C257</f>
        <v>360</v>
      </c>
    </row>
    <row r="267" spans="1:15">
      <c r="E267" s="4">
        <f t="shared" si="138"/>
        <v>267</v>
      </c>
      <c r="F267" s="9" t="s">
        <v>100</v>
      </c>
      <c r="K267" s="9" t="s">
        <v>139</v>
      </c>
      <c r="O267" s="23">
        <v>2</v>
      </c>
    </row>
    <row r="268" spans="1:15">
      <c r="E268" s="4">
        <f t="shared" si="138"/>
        <v>268</v>
      </c>
      <c r="F268" s="9" t="s">
        <v>127</v>
      </c>
      <c r="O268" s="23">
        <v>1000</v>
      </c>
    </row>
    <row r="269" spans="1:15">
      <c r="E269" s="4">
        <f t="shared" si="138"/>
        <v>269</v>
      </c>
      <c r="F269" s="9" t="s">
        <v>99</v>
      </c>
      <c r="O269" s="23">
        <v>1200</v>
      </c>
    </row>
    <row r="270" spans="1:15">
      <c r="A270" s="22" t="s">
        <v>231</v>
      </c>
      <c r="B270" s="22">
        <f t="shared" ref="B270" si="144">QUOTIENT( D270-1,G271)+1</f>
        <v>2</v>
      </c>
      <c r="C270" s="22">
        <f t="shared" ref="C270" si="145">D270-(B270-1)*G271</f>
        <v>1</v>
      </c>
      <c r="D270" s="22">
        <f>COUNT($D$74:$D269)+1</f>
        <v>16</v>
      </c>
      <c r="E270" s="4"/>
      <c r="F270" s="9" t="s">
        <v>231</v>
      </c>
      <c r="K270" s="9" t="s">
        <v>231</v>
      </c>
      <c r="L270" s="9" t="s">
        <v>231</v>
      </c>
      <c r="M270" s="9" t="s">
        <v>231</v>
      </c>
      <c r="N270" s="9" t="s">
        <v>231</v>
      </c>
    </row>
    <row r="271" spans="1:15">
      <c r="E271" s="4">
        <f t="shared" ref="E271:E282" si="146">ROW(E271)</f>
        <v>271</v>
      </c>
      <c r="F271" s="9" t="s">
        <v>95</v>
      </c>
      <c r="G271" s="23">
        <v>15</v>
      </c>
      <c r="H271" s="23">
        <v>4</v>
      </c>
      <c r="J271" s="23">
        <v>13400</v>
      </c>
      <c r="K271" s="9" t="s">
        <v>231</v>
      </c>
      <c r="L271" s="9" t="s">
        <v>231</v>
      </c>
      <c r="M271" s="9" t="s">
        <v>231</v>
      </c>
      <c r="N271" s="9" t="s">
        <v>231</v>
      </c>
      <c r="O271" s="23">
        <f t="shared" ref="O271" si="147">J271+D270</f>
        <v>13416</v>
      </c>
    </row>
    <row r="272" spans="1:15">
      <c r="E272" s="4">
        <f t="shared" si="146"/>
        <v>272</v>
      </c>
      <c r="F272" s="9" t="s">
        <v>145</v>
      </c>
      <c r="G272" s="23">
        <v>13301</v>
      </c>
      <c r="H272" s="23">
        <v>13302</v>
      </c>
      <c r="I272" s="23">
        <v>13303</v>
      </c>
      <c r="J272" s="23">
        <v>13304</v>
      </c>
      <c r="K272" s="9" t="s">
        <v>231</v>
      </c>
      <c r="L272" s="9" t="s">
        <v>231</v>
      </c>
      <c r="M272" s="9" t="s">
        <v>231</v>
      </c>
      <c r="N272" s="9" t="s">
        <v>231</v>
      </c>
      <c r="O272" s="23" cm="1">
        <f t="array" ref="O272">_xlfn.SWITCH(B270,1,G272,2,H272,3,I272,4,J272)</f>
        <v>13302</v>
      </c>
    </row>
    <row r="273" spans="1:15">
      <c r="E273" s="4">
        <f t="shared" si="146"/>
        <v>273</v>
      </c>
      <c r="F273" s="9" t="s">
        <v>128</v>
      </c>
      <c r="H273" s="9"/>
      <c r="J273" s="9"/>
      <c r="K273" s="9" t="s">
        <v>231</v>
      </c>
      <c r="L273" s="9" t="s">
        <v>231</v>
      </c>
      <c r="M273" s="9" t="s">
        <v>231</v>
      </c>
      <c r="N273" s="9" t="s">
        <v>231</v>
      </c>
      <c r="O273" s="23">
        <v>0</v>
      </c>
    </row>
    <row r="274" spans="1:15">
      <c r="E274" s="4">
        <f t="shared" si="146"/>
        <v>274</v>
      </c>
      <c r="F274" s="9" t="s">
        <v>200</v>
      </c>
      <c r="H274" s="9"/>
      <c r="J274" s="9"/>
      <c r="K274" s="9" t="s">
        <v>231</v>
      </c>
      <c r="L274" s="9" t="s">
        <v>231</v>
      </c>
      <c r="M274" s="9" t="s">
        <v>231</v>
      </c>
      <c r="N274" s="9" t="s">
        <v>231</v>
      </c>
      <c r="O274" s="23">
        <v>60</v>
      </c>
    </row>
    <row r="275" spans="1:15">
      <c r="E275" s="4">
        <f t="shared" si="146"/>
        <v>275</v>
      </c>
      <c r="F275" s="9" t="s">
        <v>29</v>
      </c>
      <c r="O275" s="23" t="s">
        <v>147</v>
      </c>
    </row>
    <row r="276" spans="1:15">
      <c r="E276" s="4">
        <f t="shared" si="146"/>
        <v>276</v>
      </c>
      <c r="F276" s="9" t="s">
        <v>118</v>
      </c>
      <c r="K276" s="9" t="s">
        <v>139</v>
      </c>
      <c r="O276" s="23">
        <v>2</v>
      </c>
    </row>
    <row r="277" spans="1:15">
      <c r="E277" s="4">
        <f t="shared" si="146"/>
        <v>277</v>
      </c>
      <c r="F277" s="9" t="s">
        <v>120</v>
      </c>
      <c r="G277" s="9" t="b">
        <f t="shared" ref="G277" si="148">MOD(B270,2)=0</f>
        <v>1</v>
      </c>
      <c r="H277" s="9" t="s">
        <v>146</v>
      </c>
      <c r="I277" s="9" t="s">
        <v>244</v>
      </c>
      <c r="J277" s="9"/>
      <c r="O277" s="23" t="str">
        <f t="shared" ref="O277" si="149">IF(G277,H277,I277)</f>
        <v>Shot5_yellow</v>
      </c>
    </row>
    <row r="278" spans="1:15">
      <c r="E278" s="4">
        <f t="shared" si="146"/>
        <v>278</v>
      </c>
      <c r="F278" s="9" t="s">
        <v>30</v>
      </c>
      <c r="H278" s="23">
        <v>1.5</v>
      </c>
      <c r="I278" s="23">
        <v>1</v>
      </c>
      <c r="O278" s="23">
        <f t="shared" ref="O278" si="150">IF(B270&lt;=2,H278,I278)</f>
        <v>1.5</v>
      </c>
    </row>
    <row r="279" spans="1:15">
      <c r="E279" s="4">
        <f t="shared" si="146"/>
        <v>279</v>
      </c>
      <c r="F279" s="9" t="s">
        <v>31</v>
      </c>
      <c r="G279" s="23">
        <v>360</v>
      </c>
      <c r="L279" s="9" t="s">
        <v>136</v>
      </c>
      <c r="O279" s="23">
        <f t="shared" ref="O279" si="151">G279/G271*C270</f>
        <v>24</v>
      </c>
    </row>
    <row r="280" spans="1:15">
      <c r="E280" s="4">
        <f t="shared" si="146"/>
        <v>280</v>
      </c>
      <c r="F280" s="9" t="s">
        <v>100</v>
      </c>
      <c r="K280" s="9" t="s">
        <v>139</v>
      </c>
      <c r="O280" s="23">
        <v>2</v>
      </c>
    </row>
    <row r="281" spans="1:15">
      <c r="E281" s="4">
        <f t="shared" si="146"/>
        <v>281</v>
      </c>
      <c r="F281" s="9" t="s">
        <v>127</v>
      </c>
      <c r="O281" s="23">
        <v>1000</v>
      </c>
    </row>
    <row r="282" spans="1:15">
      <c r="E282" s="4">
        <f t="shared" si="146"/>
        <v>282</v>
      </c>
      <c r="F282" s="9" t="s">
        <v>99</v>
      </c>
      <c r="O282" s="23">
        <v>1200</v>
      </c>
    </row>
    <row r="283" spans="1:15">
      <c r="A283" s="22" t="s">
        <v>231</v>
      </c>
      <c r="B283" s="22">
        <f t="shared" ref="B283" si="152">QUOTIENT( D283-1,G284)+1</f>
        <v>2</v>
      </c>
      <c r="C283" s="22">
        <f t="shared" ref="C283" si="153">D283-(B283-1)*G284</f>
        <v>2</v>
      </c>
      <c r="D283" s="22">
        <f>COUNT($D$74:$D282)+1</f>
        <v>17</v>
      </c>
      <c r="F283" s="9" t="s">
        <v>231</v>
      </c>
      <c r="K283" s="9" t="s">
        <v>231</v>
      </c>
      <c r="L283" s="9" t="s">
        <v>231</v>
      </c>
      <c r="M283" s="9" t="s">
        <v>231</v>
      </c>
      <c r="N283" s="9" t="s">
        <v>231</v>
      </c>
    </row>
    <row r="284" spans="1:15">
      <c r="E284" s="9">
        <f t="shared" ref="E284:E295" si="154">ROW(E284)</f>
        <v>284</v>
      </c>
      <c r="F284" s="9" t="s">
        <v>95</v>
      </c>
      <c r="G284" s="23">
        <v>15</v>
      </c>
      <c r="H284" s="23">
        <v>4</v>
      </c>
      <c r="J284" s="23">
        <v>13400</v>
      </c>
      <c r="K284" s="9" t="s">
        <v>231</v>
      </c>
      <c r="L284" s="9" t="s">
        <v>231</v>
      </c>
      <c r="M284" s="9" t="s">
        <v>231</v>
      </c>
      <c r="N284" s="9" t="s">
        <v>231</v>
      </c>
      <c r="O284" s="23">
        <f t="shared" ref="O284" si="155">J284+D283</f>
        <v>13417</v>
      </c>
    </row>
    <row r="285" spans="1:15">
      <c r="E285" s="9">
        <f t="shared" si="154"/>
        <v>285</v>
      </c>
      <c r="F285" s="9" t="s">
        <v>145</v>
      </c>
      <c r="G285" s="23">
        <v>13301</v>
      </c>
      <c r="H285" s="23">
        <v>13302</v>
      </c>
      <c r="I285" s="23">
        <v>13303</v>
      </c>
      <c r="J285" s="23">
        <v>13304</v>
      </c>
      <c r="K285" s="9" t="s">
        <v>231</v>
      </c>
      <c r="L285" s="9" t="s">
        <v>231</v>
      </c>
      <c r="M285" s="9" t="s">
        <v>231</v>
      </c>
      <c r="N285" s="9" t="s">
        <v>231</v>
      </c>
      <c r="O285" s="23" cm="1">
        <f t="array" ref="O285">_xlfn.SWITCH(B283,1,G285,2,H285,3,I285,4,J285)</f>
        <v>13302</v>
      </c>
    </row>
    <row r="286" spans="1:15">
      <c r="E286" s="9">
        <f t="shared" si="154"/>
        <v>286</v>
      </c>
      <c r="F286" s="9" t="s">
        <v>128</v>
      </c>
      <c r="K286" s="9" t="s">
        <v>231</v>
      </c>
      <c r="L286" s="9" t="s">
        <v>231</v>
      </c>
      <c r="M286" s="9" t="s">
        <v>231</v>
      </c>
      <c r="N286" s="9" t="s">
        <v>231</v>
      </c>
      <c r="O286" s="23">
        <v>0</v>
      </c>
    </row>
    <row r="287" spans="1:15">
      <c r="E287" s="9">
        <f t="shared" si="154"/>
        <v>287</v>
      </c>
      <c r="F287" s="9" t="s">
        <v>200</v>
      </c>
      <c r="K287" s="9" t="s">
        <v>231</v>
      </c>
      <c r="L287" s="9" t="s">
        <v>231</v>
      </c>
      <c r="M287" s="9" t="s">
        <v>231</v>
      </c>
      <c r="N287" s="9" t="s">
        <v>231</v>
      </c>
      <c r="O287" s="23">
        <v>60</v>
      </c>
    </row>
    <row r="288" spans="1:15">
      <c r="E288" s="9">
        <f t="shared" si="154"/>
        <v>288</v>
      </c>
      <c r="F288" s="9" t="s">
        <v>29</v>
      </c>
      <c r="O288" s="23" t="s">
        <v>147</v>
      </c>
    </row>
    <row r="289" spans="1:15">
      <c r="E289" s="9">
        <f t="shared" si="154"/>
        <v>289</v>
      </c>
      <c r="F289" s="9" t="s">
        <v>118</v>
      </c>
      <c r="K289" s="9" t="s">
        <v>139</v>
      </c>
      <c r="O289" s="23">
        <v>2</v>
      </c>
    </row>
    <row r="290" spans="1:15">
      <c r="E290" s="9">
        <f t="shared" si="154"/>
        <v>290</v>
      </c>
      <c r="F290" s="9" t="s">
        <v>120</v>
      </c>
      <c r="G290" s="23" t="b">
        <f t="shared" ref="G290" si="156">MOD(B283,2)=0</f>
        <v>1</v>
      </c>
      <c r="H290" s="23" t="s">
        <v>146</v>
      </c>
      <c r="I290" s="23" t="s">
        <v>244</v>
      </c>
      <c r="O290" s="23" t="str">
        <f t="shared" ref="O290" si="157">IF(G290,H290,I290)</f>
        <v>Shot5_yellow</v>
      </c>
    </row>
    <row r="291" spans="1:15">
      <c r="E291" s="9">
        <f t="shared" si="154"/>
        <v>291</v>
      </c>
      <c r="F291" s="9" t="s">
        <v>30</v>
      </c>
      <c r="H291" s="23">
        <v>1.5</v>
      </c>
      <c r="I291" s="23">
        <v>1</v>
      </c>
      <c r="O291" s="23">
        <f t="shared" ref="O291" si="158">IF(B283&lt;=2,H291,I291)</f>
        <v>1.5</v>
      </c>
    </row>
    <row r="292" spans="1:15">
      <c r="E292" s="9">
        <f t="shared" si="154"/>
        <v>292</v>
      </c>
      <c r="F292" s="9" t="s">
        <v>31</v>
      </c>
      <c r="G292" s="23">
        <v>360</v>
      </c>
      <c r="L292" s="9" t="s">
        <v>136</v>
      </c>
      <c r="O292" s="23">
        <f t="shared" ref="O292" si="159">G292/G284*C283</f>
        <v>48</v>
      </c>
    </row>
    <row r="293" spans="1:15">
      <c r="E293" s="9">
        <f t="shared" si="154"/>
        <v>293</v>
      </c>
      <c r="F293" s="9" t="s">
        <v>100</v>
      </c>
      <c r="K293" s="9" t="s">
        <v>139</v>
      </c>
      <c r="O293" s="23">
        <v>2</v>
      </c>
    </row>
    <row r="294" spans="1:15">
      <c r="E294" s="9">
        <f t="shared" si="154"/>
        <v>294</v>
      </c>
      <c r="F294" s="9" t="s">
        <v>127</v>
      </c>
      <c r="O294" s="23">
        <v>1000</v>
      </c>
    </row>
    <row r="295" spans="1:15">
      <c r="E295" s="9">
        <f t="shared" si="154"/>
        <v>295</v>
      </c>
      <c r="F295" s="9" t="s">
        <v>99</v>
      </c>
      <c r="O295" s="23">
        <v>1200</v>
      </c>
    </row>
    <row r="296" spans="1:15">
      <c r="A296" s="22" t="s">
        <v>231</v>
      </c>
      <c r="B296" s="22">
        <f t="shared" ref="B296" si="160">QUOTIENT( D296-1,G297)+1</f>
        <v>2</v>
      </c>
      <c r="C296" s="22">
        <f t="shared" ref="C296" si="161">D296-(B296-1)*G297</f>
        <v>3</v>
      </c>
      <c r="D296" s="22">
        <f>COUNT($D$74:$D295)+1</f>
        <v>18</v>
      </c>
      <c r="F296" s="9" t="s">
        <v>231</v>
      </c>
      <c r="K296" s="9" t="s">
        <v>231</v>
      </c>
      <c r="L296" s="9" t="s">
        <v>231</v>
      </c>
      <c r="M296" s="9" t="s">
        <v>231</v>
      </c>
      <c r="N296" s="9" t="s">
        <v>231</v>
      </c>
    </row>
    <row r="297" spans="1:15">
      <c r="E297" s="9">
        <f t="shared" ref="E297:E308" si="162">ROW(E297)</f>
        <v>297</v>
      </c>
      <c r="F297" s="9" t="s">
        <v>95</v>
      </c>
      <c r="G297" s="23">
        <v>15</v>
      </c>
      <c r="H297" s="23">
        <v>4</v>
      </c>
      <c r="J297" s="23">
        <v>13400</v>
      </c>
      <c r="K297" s="9" t="s">
        <v>231</v>
      </c>
      <c r="L297" s="9" t="s">
        <v>231</v>
      </c>
      <c r="M297" s="9" t="s">
        <v>231</v>
      </c>
      <c r="N297" s="9" t="s">
        <v>231</v>
      </c>
      <c r="O297" s="23">
        <f t="shared" ref="O297" si="163">J297+D296</f>
        <v>13418</v>
      </c>
    </row>
    <row r="298" spans="1:15">
      <c r="E298" s="9">
        <f t="shared" si="162"/>
        <v>298</v>
      </c>
      <c r="F298" s="9" t="s">
        <v>145</v>
      </c>
      <c r="G298" s="23">
        <v>13301</v>
      </c>
      <c r="H298" s="23">
        <v>13302</v>
      </c>
      <c r="I298" s="23">
        <v>13303</v>
      </c>
      <c r="J298" s="23">
        <v>13304</v>
      </c>
      <c r="K298" s="9" t="s">
        <v>231</v>
      </c>
      <c r="L298" s="9" t="s">
        <v>231</v>
      </c>
      <c r="M298" s="9" t="s">
        <v>231</v>
      </c>
      <c r="N298" s="9" t="s">
        <v>231</v>
      </c>
      <c r="O298" s="23" cm="1">
        <f t="array" ref="O298">_xlfn.SWITCH(B296,1,G298,2,H298,3,I298,4,J298)</f>
        <v>13302</v>
      </c>
    </row>
    <row r="299" spans="1:15">
      <c r="E299" s="9">
        <f t="shared" si="162"/>
        <v>299</v>
      </c>
      <c r="F299" s="9" t="s">
        <v>128</v>
      </c>
      <c r="K299" s="9" t="s">
        <v>231</v>
      </c>
      <c r="L299" s="9" t="s">
        <v>231</v>
      </c>
      <c r="M299" s="9" t="s">
        <v>231</v>
      </c>
      <c r="N299" s="9" t="s">
        <v>231</v>
      </c>
      <c r="O299" s="23">
        <v>0</v>
      </c>
    </row>
    <row r="300" spans="1:15">
      <c r="E300" s="9">
        <f t="shared" si="162"/>
        <v>300</v>
      </c>
      <c r="F300" s="9" t="s">
        <v>200</v>
      </c>
      <c r="K300" s="9" t="s">
        <v>231</v>
      </c>
      <c r="L300" s="9" t="s">
        <v>231</v>
      </c>
      <c r="M300" s="9" t="s">
        <v>231</v>
      </c>
      <c r="N300" s="9" t="s">
        <v>231</v>
      </c>
      <c r="O300" s="23">
        <v>60</v>
      </c>
    </row>
    <row r="301" spans="1:15">
      <c r="E301" s="9">
        <f t="shared" si="162"/>
        <v>301</v>
      </c>
      <c r="F301" s="9" t="s">
        <v>29</v>
      </c>
      <c r="O301" s="23" t="s">
        <v>147</v>
      </c>
    </row>
    <row r="302" spans="1:15">
      <c r="E302" s="9">
        <f t="shared" si="162"/>
        <v>302</v>
      </c>
      <c r="F302" s="9" t="s">
        <v>118</v>
      </c>
      <c r="K302" s="9" t="s">
        <v>139</v>
      </c>
      <c r="O302" s="23">
        <v>2</v>
      </c>
    </row>
    <row r="303" spans="1:15">
      <c r="E303" s="9">
        <f t="shared" si="162"/>
        <v>303</v>
      </c>
      <c r="F303" s="9" t="s">
        <v>120</v>
      </c>
      <c r="G303" s="23" t="b">
        <f t="shared" ref="G303" si="164">MOD(B296,2)=0</f>
        <v>1</v>
      </c>
      <c r="H303" s="23" t="s">
        <v>146</v>
      </c>
      <c r="I303" s="23" t="s">
        <v>244</v>
      </c>
      <c r="O303" s="23" t="str">
        <f t="shared" ref="O303" si="165">IF(G303,H303,I303)</f>
        <v>Shot5_yellow</v>
      </c>
    </row>
    <row r="304" spans="1:15">
      <c r="E304" s="9">
        <f t="shared" si="162"/>
        <v>304</v>
      </c>
      <c r="F304" s="9" t="s">
        <v>30</v>
      </c>
      <c r="H304" s="23">
        <v>1.5</v>
      </c>
      <c r="I304" s="23">
        <v>1</v>
      </c>
      <c r="O304" s="23">
        <f t="shared" ref="O304" si="166">IF(B296&lt;=2,H304,I304)</f>
        <v>1.5</v>
      </c>
    </row>
    <row r="305" spans="1:15">
      <c r="E305" s="9">
        <f t="shared" si="162"/>
        <v>305</v>
      </c>
      <c r="F305" s="9" t="s">
        <v>31</v>
      </c>
      <c r="G305" s="23">
        <v>360</v>
      </c>
      <c r="L305" s="9" t="s">
        <v>136</v>
      </c>
      <c r="O305" s="23">
        <f t="shared" ref="O305" si="167">G305/G297*C296</f>
        <v>72</v>
      </c>
    </row>
    <row r="306" spans="1:15">
      <c r="E306" s="9">
        <f t="shared" si="162"/>
        <v>306</v>
      </c>
      <c r="F306" s="9" t="s">
        <v>100</v>
      </c>
      <c r="K306" s="9" t="s">
        <v>139</v>
      </c>
      <c r="O306" s="23">
        <v>2</v>
      </c>
    </row>
    <row r="307" spans="1:15">
      <c r="E307" s="9">
        <f t="shared" si="162"/>
        <v>307</v>
      </c>
      <c r="F307" s="9" t="s">
        <v>127</v>
      </c>
      <c r="O307" s="23">
        <v>1000</v>
      </c>
    </row>
    <row r="308" spans="1:15">
      <c r="E308" s="9">
        <f t="shared" si="162"/>
        <v>308</v>
      </c>
      <c r="F308" s="9" t="s">
        <v>99</v>
      </c>
      <c r="O308" s="23">
        <v>1200</v>
      </c>
    </row>
    <row r="309" spans="1:15">
      <c r="A309" s="22" t="s">
        <v>231</v>
      </c>
      <c r="B309" s="22">
        <f t="shared" ref="B309" si="168">QUOTIENT( D309-1,G310)+1</f>
        <v>2</v>
      </c>
      <c r="C309" s="22">
        <f t="shared" ref="C309" si="169">D309-(B309-1)*G310</f>
        <v>4</v>
      </c>
      <c r="D309" s="22">
        <f>COUNT($D$74:$D308)+1</f>
        <v>19</v>
      </c>
      <c r="F309" s="9" t="s">
        <v>231</v>
      </c>
      <c r="K309" s="9" t="s">
        <v>231</v>
      </c>
      <c r="L309" s="9" t="s">
        <v>231</v>
      </c>
      <c r="M309" s="9" t="s">
        <v>231</v>
      </c>
      <c r="N309" s="9" t="s">
        <v>231</v>
      </c>
    </row>
    <row r="310" spans="1:15">
      <c r="E310" s="9">
        <f t="shared" ref="E310:E321" si="170">ROW(E310)</f>
        <v>310</v>
      </c>
      <c r="F310" s="9" t="s">
        <v>95</v>
      </c>
      <c r="G310" s="23">
        <v>15</v>
      </c>
      <c r="H310" s="23">
        <v>4</v>
      </c>
      <c r="J310" s="23">
        <v>13400</v>
      </c>
      <c r="K310" s="9" t="s">
        <v>231</v>
      </c>
      <c r="L310" s="9" t="s">
        <v>231</v>
      </c>
      <c r="M310" s="9" t="s">
        <v>231</v>
      </c>
      <c r="N310" s="9" t="s">
        <v>231</v>
      </c>
      <c r="O310" s="23">
        <f t="shared" ref="O310" si="171">J310+D309</f>
        <v>13419</v>
      </c>
    </row>
    <row r="311" spans="1:15">
      <c r="E311" s="9">
        <f t="shared" si="170"/>
        <v>311</v>
      </c>
      <c r="F311" s="9" t="s">
        <v>145</v>
      </c>
      <c r="G311" s="23">
        <v>13301</v>
      </c>
      <c r="H311" s="23">
        <v>13302</v>
      </c>
      <c r="I311" s="23">
        <v>13303</v>
      </c>
      <c r="J311" s="23">
        <v>13304</v>
      </c>
      <c r="K311" s="9" t="s">
        <v>231</v>
      </c>
      <c r="L311" s="9" t="s">
        <v>231</v>
      </c>
      <c r="M311" s="9" t="s">
        <v>231</v>
      </c>
      <c r="N311" s="9" t="s">
        <v>231</v>
      </c>
      <c r="O311" s="23" cm="1">
        <f t="array" ref="O311">_xlfn.SWITCH(B309,1,G311,2,H311,3,I311,4,J311)</f>
        <v>13302</v>
      </c>
    </row>
    <row r="312" spans="1:15">
      <c r="E312" s="9">
        <f t="shared" si="170"/>
        <v>312</v>
      </c>
      <c r="F312" s="9" t="s">
        <v>128</v>
      </c>
      <c r="K312" s="9" t="s">
        <v>231</v>
      </c>
      <c r="L312" s="9" t="s">
        <v>231</v>
      </c>
      <c r="M312" s="9" t="s">
        <v>231</v>
      </c>
      <c r="N312" s="9" t="s">
        <v>231</v>
      </c>
      <c r="O312" s="23">
        <v>0</v>
      </c>
    </row>
    <row r="313" spans="1:15">
      <c r="E313" s="9">
        <f t="shared" si="170"/>
        <v>313</v>
      </c>
      <c r="F313" s="9" t="s">
        <v>200</v>
      </c>
      <c r="K313" s="9" t="s">
        <v>231</v>
      </c>
      <c r="L313" s="9" t="s">
        <v>231</v>
      </c>
      <c r="M313" s="9" t="s">
        <v>231</v>
      </c>
      <c r="N313" s="9" t="s">
        <v>231</v>
      </c>
      <c r="O313" s="23">
        <v>60</v>
      </c>
    </row>
    <row r="314" spans="1:15">
      <c r="E314" s="9">
        <f t="shared" si="170"/>
        <v>314</v>
      </c>
      <c r="F314" s="9" t="s">
        <v>29</v>
      </c>
      <c r="O314" s="23" t="s">
        <v>147</v>
      </c>
    </row>
    <row r="315" spans="1:15">
      <c r="E315" s="9">
        <f t="shared" si="170"/>
        <v>315</v>
      </c>
      <c r="F315" s="9" t="s">
        <v>118</v>
      </c>
      <c r="K315" s="9" t="s">
        <v>139</v>
      </c>
      <c r="O315" s="23">
        <v>2</v>
      </c>
    </row>
    <row r="316" spans="1:15">
      <c r="E316" s="9">
        <f t="shared" si="170"/>
        <v>316</v>
      </c>
      <c r="F316" s="9" t="s">
        <v>120</v>
      </c>
      <c r="G316" s="23" t="b">
        <f t="shared" ref="G316" si="172">MOD(B309,2)=0</f>
        <v>1</v>
      </c>
      <c r="H316" s="23" t="s">
        <v>146</v>
      </c>
      <c r="I316" s="23" t="s">
        <v>244</v>
      </c>
      <c r="O316" s="23" t="str">
        <f t="shared" ref="O316" si="173">IF(G316,H316,I316)</f>
        <v>Shot5_yellow</v>
      </c>
    </row>
    <row r="317" spans="1:15">
      <c r="E317" s="9">
        <f t="shared" si="170"/>
        <v>317</v>
      </c>
      <c r="F317" s="9" t="s">
        <v>30</v>
      </c>
      <c r="H317" s="23">
        <v>1.5</v>
      </c>
      <c r="I317" s="23">
        <v>1</v>
      </c>
      <c r="O317" s="23">
        <f t="shared" ref="O317" si="174">IF(B309&lt;=2,H317,I317)</f>
        <v>1.5</v>
      </c>
    </row>
    <row r="318" spans="1:15">
      <c r="E318" s="9">
        <f t="shared" si="170"/>
        <v>318</v>
      </c>
      <c r="F318" s="9" t="s">
        <v>31</v>
      </c>
      <c r="G318" s="23">
        <v>360</v>
      </c>
      <c r="L318" s="9" t="s">
        <v>136</v>
      </c>
      <c r="O318" s="23">
        <f t="shared" ref="O318" si="175">G318/G310*C309</f>
        <v>96</v>
      </c>
    </row>
    <row r="319" spans="1:15">
      <c r="E319" s="9">
        <f t="shared" si="170"/>
        <v>319</v>
      </c>
      <c r="F319" s="9" t="s">
        <v>100</v>
      </c>
      <c r="K319" s="9" t="s">
        <v>139</v>
      </c>
      <c r="O319" s="23">
        <v>2</v>
      </c>
    </row>
    <row r="320" spans="1:15">
      <c r="E320" s="9">
        <f t="shared" si="170"/>
        <v>320</v>
      </c>
      <c r="F320" s="9" t="s">
        <v>127</v>
      </c>
      <c r="O320" s="23">
        <v>1000</v>
      </c>
    </row>
    <row r="321" spans="1:15">
      <c r="E321" s="9">
        <f t="shared" si="170"/>
        <v>321</v>
      </c>
      <c r="F321" s="9" t="s">
        <v>99</v>
      </c>
      <c r="O321" s="23">
        <v>1200</v>
      </c>
    </row>
    <row r="322" spans="1:15">
      <c r="A322" s="22" t="s">
        <v>231</v>
      </c>
      <c r="B322" s="22">
        <f t="shared" ref="B322" si="176">QUOTIENT( D322-1,G323)+1</f>
        <v>2</v>
      </c>
      <c r="C322" s="22">
        <f t="shared" ref="C322" si="177">D322-(B322-1)*G323</f>
        <v>5</v>
      </c>
      <c r="D322" s="22">
        <f>COUNT($D$74:$D321)+1</f>
        <v>20</v>
      </c>
      <c r="F322" s="9" t="s">
        <v>231</v>
      </c>
      <c r="K322" s="9" t="s">
        <v>231</v>
      </c>
      <c r="L322" s="9" t="s">
        <v>231</v>
      </c>
      <c r="M322" s="9" t="s">
        <v>231</v>
      </c>
      <c r="N322" s="9" t="s">
        <v>231</v>
      </c>
    </row>
    <row r="323" spans="1:15">
      <c r="E323" s="9">
        <f t="shared" ref="E323:E334" si="178">ROW(E323)</f>
        <v>323</v>
      </c>
      <c r="F323" s="9" t="s">
        <v>95</v>
      </c>
      <c r="G323" s="23">
        <v>15</v>
      </c>
      <c r="H323" s="23">
        <v>4</v>
      </c>
      <c r="J323" s="23">
        <v>13400</v>
      </c>
      <c r="K323" s="9" t="s">
        <v>231</v>
      </c>
      <c r="L323" s="9" t="s">
        <v>231</v>
      </c>
      <c r="M323" s="9" t="s">
        <v>231</v>
      </c>
      <c r="N323" s="9" t="s">
        <v>231</v>
      </c>
      <c r="O323" s="23">
        <f t="shared" ref="O323" si="179">J323+D322</f>
        <v>13420</v>
      </c>
    </row>
    <row r="324" spans="1:15">
      <c r="E324" s="9">
        <f t="shared" si="178"/>
        <v>324</v>
      </c>
      <c r="F324" s="9" t="s">
        <v>145</v>
      </c>
      <c r="G324" s="23">
        <v>13301</v>
      </c>
      <c r="H324" s="23">
        <v>13302</v>
      </c>
      <c r="I324" s="23">
        <v>13303</v>
      </c>
      <c r="J324" s="23">
        <v>13304</v>
      </c>
      <c r="K324" s="9" t="s">
        <v>231</v>
      </c>
      <c r="L324" s="9" t="s">
        <v>231</v>
      </c>
      <c r="M324" s="9" t="s">
        <v>231</v>
      </c>
      <c r="N324" s="9" t="s">
        <v>231</v>
      </c>
      <c r="O324" s="23" cm="1">
        <f t="array" ref="O324">_xlfn.SWITCH(B322,1,G324,2,H324,3,I324,4,J324)</f>
        <v>13302</v>
      </c>
    </row>
    <row r="325" spans="1:15">
      <c r="E325" s="9">
        <f t="shared" si="178"/>
        <v>325</v>
      </c>
      <c r="F325" s="9" t="s">
        <v>128</v>
      </c>
      <c r="K325" s="9" t="s">
        <v>231</v>
      </c>
      <c r="L325" s="9" t="s">
        <v>231</v>
      </c>
      <c r="M325" s="9" t="s">
        <v>231</v>
      </c>
      <c r="N325" s="9" t="s">
        <v>231</v>
      </c>
      <c r="O325" s="23">
        <v>0</v>
      </c>
    </row>
    <row r="326" spans="1:15">
      <c r="E326" s="9">
        <f t="shared" si="178"/>
        <v>326</v>
      </c>
      <c r="F326" s="9" t="s">
        <v>200</v>
      </c>
      <c r="K326" s="9" t="s">
        <v>231</v>
      </c>
      <c r="L326" s="9" t="s">
        <v>231</v>
      </c>
      <c r="M326" s="9" t="s">
        <v>231</v>
      </c>
      <c r="N326" s="9" t="s">
        <v>231</v>
      </c>
      <c r="O326" s="23">
        <v>60</v>
      </c>
    </row>
    <row r="327" spans="1:15">
      <c r="E327" s="9">
        <f t="shared" si="178"/>
        <v>327</v>
      </c>
      <c r="F327" s="9" t="s">
        <v>29</v>
      </c>
      <c r="O327" s="23" t="s">
        <v>147</v>
      </c>
    </row>
    <row r="328" spans="1:15">
      <c r="E328" s="9">
        <f t="shared" si="178"/>
        <v>328</v>
      </c>
      <c r="F328" s="9" t="s">
        <v>118</v>
      </c>
      <c r="K328" s="9" t="s">
        <v>139</v>
      </c>
      <c r="O328" s="23">
        <v>2</v>
      </c>
    </row>
    <row r="329" spans="1:15">
      <c r="E329" s="9">
        <f t="shared" si="178"/>
        <v>329</v>
      </c>
      <c r="F329" s="9" t="s">
        <v>120</v>
      </c>
      <c r="G329" s="23" t="b">
        <f t="shared" ref="G329" si="180">MOD(B322,2)=0</f>
        <v>1</v>
      </c>
      <c r="H329" s="23" t="s">
        <v>146</v>
      </c>
      <c r="I329" s="23" t="s">
        <v>244</v>
      </c>
      <c r="O329" s="23" t="str">
        <f t="shared" ref="O329" si="181">IF(G329,H329,I329)</f>
        <v>Shot5_yellow</v>
      </c>
    </row>
    <row r="330" spans="1:15">
      <c r="E330" s="9">
        <f t="shared" si="178"/>
        <v>330</v>
      </c>
      <c r="F330" s="9" t="s">
        <v>30</v>
      </c>
      <c r="H330" s="23">
        <v>1.5</v>
      </c>
      <c r="I330" s="23">
        <v>1</v>
      </c>
      <c r="O330" s="23">
        <f t="shared" ref="O330" si="182">IF(B322&lt;=2,H330,I330)</f>
        <v>1.5</v>
      </c>
    </row>
    <row r="331" spans="1:15">
      <c r="E331" s="9">
        <f t="shared" si="178"/>
        <v>331</v>
      </c>
      <c r="F331" s="9" t="s">
        <v>31</v>
      </c>
      <c r="G331" s="23">
        <v>360</v>
      </c>
      <c r="L331" s="9" t="s">
        <v>136</v>
      </c>
      <c r="O331" s="23">
        <f t="shared" ref="O331" si="183">G331/G323*C322</f>
        <v>120</v>
      </c>
    </row>
    <row r="332" spans="1:15">
      <c r="E332" s="9">
        <f t="shared" si="178"/>
        <v>332</v>
      </c>
      <c r="F332" s="9" t="s">
        <v>100</v>
      </c>
      <c r="K332" s="9" t="s">
        <v>139</v>
      </c>
      <c r="O332" s="23">
        <v>2</v>
      </c>
    </row>
    <row r="333" spans="1:15">
      <c r="E333" s="9">
        <f t="shared" si="178"/>
        <v>333</v>
      </c>
      <c r="F333" s="9" t="s">
        <v>127</v>
      </c>
      <c r="O333" s="23">
        <v>1000</v>
      </c>
    </row>
    <row r="334" spans="1:15">
      <c r="E334" s="9">
        <f t="shared" si="178"/>
        <v>334</v>
      </c>
      <c r="F334" s="9" t="s">
        <v>99</v>
      </c>
      <c r="O334" s="23">
        <v>1200</v>
      </c>
    </row>
    <row r="335" spans="1:15">
      <c r="A335" s="22" t="s">
        <v>231</v>
      </c>
      <c r="B335" s="22">
        <f t="shared" ref="B335" si="184">QUOTIENT( D335-1,G336)+1</f>
        <v>2</v>
      </c>
      <c r="C335" s="22">
        <f t="shared" ref="C335" si="185">D335-(B335-1)*G336</f>
        <v>6</v>
      </c>
      <c r="D335" s="22">
        <f>COUNT($D$74:$D334)+1</f>
        <v>21</v>
      </c>
      <c r="F335" s="9" t="s">
        <v>231</v>
      </c>
      <c r="K335" s="9" t="s">
        <v>231</v>
      </c>
      <c r="L335" s="9" t="s">
        <v>231</v>
      </c>
      <c r="M335" s="9" t="s">
        <v>231</v>
      </c>
      <c r="N335" s="9" t="s">
        <v>231</v>
      </c>
    </row>
    <row r="336" spans="1:15">
      <c r="E336" s="9">
        <f t="shared" ref="E336:E347" si="186">ROW(E336)</f>
        <v>336</v>
      </c>
      <c r="F336" s="9" t="s">
        <v>95</v>
      </c>
      <c r="G336" s="23">
        <v>15</v>
      </c>
      <c r="H336" s="23">
        <v>4</v>
      </c>
      <c r="J336" s="23">
        <v>13400</v>
      </c>
      <c r="K336" s="9" t="s">
        <v>231</v>
      </c>
      <c r="L336" s="9" t="s">
        <v>231</v>
      </c>
      <c r="M336" s="9" t="s">
        <v>231</v>
      </c>
      <c r="N336" s="9" t="s">
        <v>231</v>
      </c>
      <c r="O336" s="23">
        <f t="shared" ref="O336" si="187">J336+D335</f>
        <v>13421</v>
      </c>
    </row>
    <row r="337" spans="1:15">
      <c r="E337" s="9">
        <f t="shared" si="186"/>
        <v>337</v>
      </c>
      <c r="F337" s="9" t="s">
        <v>145</v>
      </c>
      <c r="G337" s="23">
        <v>13301</v>
      </c>
      <c r="H337" s="23">
        <v>13302</v>
      </c>
      <c r="I337" s="23">
        <v>13303</v>
      </c>
      <c r="J337" s="23">
        <v>13304</v>
      </c>
      <c r="K337" s="9" t="s">
        <v>231</v>
      </c>
      <c r="L337" s="9" t="s">
        <v>231</v>
      </c>
      <c r="M337" s="9" t="s">
        <v>231</v>
      </c>
      <c r="N337" s="9" t="s">
        <v>231</v>
      </c>
      <c r="O337" s="23" cm="1">
        <f t="array" ref="O337">_xlfn.SWITCH(B335,1,G337,2,H337,3,I337,4,J337)</f>
        <v>13302</v>
      </c>
    </row>
    <row r="338" spans="1:15">
      <c r="E338" s="9">
        <f t="shared" si="186"/>
        <v>338</v>
      </c>
      <c r="F338" s="9" t="s">
        <v>128</v>
      </c>
      <c r="K338" s="9" t="s">
        <v>231</v>
      </c>
      <c r="L338" s="9" t="s">
        <v>231</v>
      </c>
      <c r="M338" s="9" t="s">
        <v>231</v>
      </c>
      <c r="N338" s="9" t="s">
        <v>231</v>
      </c>
      <c r="O338" s="23">
        <v>0</v>
      </c>
    </row>
    <row r="339" spans="1:15">
      <c r="E339" s="9">
        <f t="shared" si="186"/>
        <v>339</v>
      </c>
      <c r="F339" s="9" t="s">
        <v>200</v>
      </c>
      <c r="K339" s="9" t="s">
        <v>231</v>
      </c>
      <c r="L339" s="9" t="s">
        <v>231</v>
      </c>
      <c r="M339" s="9" t="s">
        <v>231</v>
      </c>
      <c r="N339" s="9" t="s">
        <v>231</v>
      </c>
      <c r="O339" s="23">
        <v>60</v>
      </c>
    </row>
    <row r="340" spans="1:15">
      <c r="E340" s="9">
        <f t="shared" si="186"/>
        <v>340</v>
      </c>
      <c r="F340" s="9" t="s">
        <v>29</v>
      </c>
      <c r="O340" s="23" t="s">
        <v>147</v>
      </c>
    </row>
    <row r="341" spans="1:15">
      <c r="E341" s="9">
        <f t="shared" si="186"/>
        <v>341</v>
      </c>
      <c r="F341" s="9" t="s">
        <v>118</v>
      </c>
      <c r="K341" s="9" t="s">
        <v>139</v>
      </c>
      <c r="O341" s="23">
        <v>2</v>
      </c>
    </row>
    <row r="342" spans="1:15">
      <c r="E342" s="9">
        <f t="shared" si="186"/>
        <v>342</v>
      </c>
      <c r="F342" s="9" t="s">
        <v>120</v>
      </c>
      <c r="G342" s="23" t="b">
        <f t="shared" ref="G342" si="188">MOD(B335,2)=0</f>
        <v>1</v>
      </c>
      <c r="H342" s="23" t="s">
        <v>146</v>
      </c>
      <c r="I342" s="23" t="s">
        <v>244</v>
      </c>
      <c r="O342" s="23" t="str">
        <f t="shared" ref="O342" si="189">IF(G342,H342,I342)</f>
        <v>Shot5_yellow</v>
      </c>
    </row>
    <row r="343" spans="1:15">
      <c r="E343" s="9">
        <f t="shared" si="186"/>
        <v>343</v>
      </c>
      <c r="F343" s="9" t="s">
        <v>30</v>
      </c>
      <c r="H343" s="23">
        <v>1.5</v>
      </c>
      <c r="I343" s="23">
        <v>1</v>
      </c>
      <c r="O343" s="23">
        <f t="shared" ref="O343" si="190">IF(B335&lt;=2,H343,I343)</f>
        <v>1.5</v>
      </c>
    </row>
    <row r="344" spans="1:15">
      <c r="E344" s="9">
        <f t="shared" si="186"/>
        <v>344</v>
      </c>
      <c r="F344" s="9" t="s">
        <v>31</v>
      </c>
      <c r="G344" s="23">
        <v>360</v>
      </c>
      <c r="L344" s="9" t="s">
        <v>136</v>
      </c>
      <c r="O344" s="23">
        <f t="shared" ref="O344" si="191">G344/G336*C335</f>
        <v>144</v>
      </c>
    </row>
    <row r="345" spans="1:15">
      <c r="E345" s="9">
        <f t="shared" si="186"/>
        <v>345</v>
      </c>
      <c r="F345" s="9" t="s">
        <v>100</v>
      </c>
      <c r="K345" s="9" t="s">
        <v>139</v>
      </c>
      <c r="O345" s="23">
        <v>2</v>
      </c>
    </row>
    <row r="346" spans="1:15">
      <c r="E346" s="9">
        <f t="shared" si="186"/>
        <v>346</v>
      </c>
      <c r="F346" s="9" t="s">
        <v>127</v>
      </c>
      <c r="O346" s="23">
        <v>1000</v>
      </c>
    </row>
    <row r="347" spans="1:15">
      <c r="E347" s="9">
        <f t="shared" si="186"/>
        <v>347</v>
      </c>
      <c r="F347" s="9" t="s">
        <v>99</v>
      </c>
      <c r="O347" s="23">
        <v>1200</v>
      </c>
    </row>
    <row r="348" spans="1:15">
      <c r="A348" s="22" t="s">
        <v>231</v>
      </c>
      <c r="B348" s="22">
        <f t="shared" ref="B348" si="192">QUOTIENT( D348-1,G349)+1</f>
        <v>2</v>
      </c>
      <c r="C348" s="22">
        <f t="shared" ref="C348" si="193">D348-(B348-1)*G349</f>
        <v>7</v>
      </c>
      <c r="D348" s="22">
        <f>COUNT($D$74:$D347)+1</f>
        <v>22</v>
      </c>
      <c r="F348" s="9" t="s">
        <v>231</v>
      </c>
      <c r="K348" s="9" t="s">
        <v>231</v>
      </c>
      <c r="L348" s="9" t="s">
        <v>231</v>
      </c>
      <c r="M348" s="9" t="s">
        <v>231</v>
      </c>
      <c r="N348" s="9" t="s">
        <v>231</v>
      </c>
    </row>
    <row r="349" spans="1:15">
      <c r="E349" s="9">
        <f t="shared" ref="E349:E360" si="194">ROW(E349)</f>
        <v>349</v>
      </c>
      <c r="F349" s="9" t="s">
        <v>95</v>
      </c>
      <c r="G349" s="23">
        <v>15</v>
      </c>
      <c r="H349" s="23">
        <v>4</v>
      </c>
      <c r="J349" s="23">
        <v>13400</v>
      </c>
      <c r="K349" s="9" t="s">
        <v>231</v>
      </c>
      <c r="L349" s="9" t="s">
        <v>231</v>
      </c>
      <c r="M349" s="9" t="s">
        <v>231</v>
      </c>
      <c r="N349" s="9" t="s">
        <v>231</v>
      </c>
      <c r="O349" s="23">
        <f t="shared" ref="O349" si="195">J349+D348</f>
        <v>13422</v>
      </c>
    </row>
    <row r="350" spans="1:15">
      <c r="E350" s="9">
        <f t="shared" si="194"/>
        <v>350</v>
      </c>
      <c r="F350" s="9" t="s">
        <v>145</v>
      </c>
      <c r="G350" s="23">
        <v>13301</v>
      </c>
      <c r="H350" s="23">
        <v>13302</v>
      </c>
      <c r="I350" s="23">
        <v>13303</v>
      </c>
      <c r="J350" s="23">
        <v>13304</v>
      </c>
      <c r="K350" s="9" t="s">
        <v>231</v>
      </c>
      <c r="L350" s="9" t="s">
        <v>231</v>
      </c>
      <c r="M350" s="9" t="s">
        <v>231</v>
      </c>
      <c r="N350" s="9" t="s">
        <v>231</v>
      </c>
      <c r="O350" s="23" cm="1">
        <f t="array" ref="O350">_xlfn.SWITCH(B348,1,G350,2,H350,3,I350,4,J350)</f>
        <v>13302</v>
      </c>
    </row>
    <row r="351" spans="1:15">
      <c r="E351" s="9">
        <f t="shared" si="194"/>
        <v>351</v>
      </c>
      <c r="F351" s="9" t="s">
        <v>128</v>
      </c>
      <c r="K351" s="9" t="s">
        <v>231</v>
      </c>
      <c r="L351" s="9" t="s">
        <v>231</v>
      </c>
      <c r="M351" s="9" t="s">
        <v>231</v>
      </c>
      <c r="N351" s="9" t="s">
        <v>231</v>
      </c>
      <c r="O351" s="23">
        <v>0</v>
      </c>
    </row>
    <row r="352" spans="1:15">
      <c r="E352" s="9">
        <f t="shared" si="194"/>
        <v>352</v>
      </c>
      <c r="F352" s="9" t="s">
        <v>200</v>
      </c>
      <c r="K352" s="9" t="s">
        <v>231</v>
      </c>
      <c r="L352" s="9" t="s">
        <v>231</v>
      </c>
      <c r="M352" s="9" t="s">
        <v>231</v>
      </c>
      <c r="N352" s="9" t="s">
        <v>231</v>
      </c>
      <c r="O352" s="23">
        <v>60</v>
      </c>
    </row>
    <row r="353" spans="1:15">
      <c r="E353" s="9">
        <f t="shared" si="194"/>
        <v>353</v>
      </c>
      <c r="F353" s="9" t="s">
        <v>29</v>
      </c>
      <c r="O353" s="23" t="s">
        <v>147</v>
      </c>
    </row>
    <row r="354" spans="1:15">
      <c r="E354" s="9">
        <f t="shared" si="194"/>
        <v>354</v>
      </c>
      <c r="F354" s="9" t="s">
        <v>118</v>
      </c>
      <c r="K354" s="9" t="s">
        <v>139</v>
      </c>
      <c r="O354" s="23">
        <v>2</v>
      </c>
    </row>
    <row r="355" spans="1:15">
      <c r="E355" s="9">
        <f t="shared" si="194"/>
        <v>355</v>
      </c>
      <c r="F355" s="9" t="s">
        <v>120</v>
      </c>
      <c r="G355" s="23" t="b">
        <f t="shared" ref="G355" si="196">MOD(B348,2)=0</f>
        <v>1</v>
      </c>
      <c r="H355" s="23" t="s">
        <v>146</v>
      </c>
      <c r="I355" s="23" t="s">
        <v>244</v>
      </c>
      <c r="O355" s="23" t="str">
        <f t="shared" ref="O355" si="197">IF(G355,H355,I355)</f>
        <v>Shot5_yellow</v>
      </c>
    </row>
    <row r="356" spans="1:15">
      <c r="E356" s="9">
        <f t="shared" si="194"/>
        <v>356</v>
      </c>
      <c r="F356" s="9" t="s">
        <v>30</v>
      </c>
      <c r="H356" s="23">
        <v>1.5</v>
      </c>
      <c r="I356" s="23">
        <v>1</v>
      </c>
      <c r="O356" s="23">
        <f t="shared" ref="O356" si="198">IF(B348&lt;=2,H356,I356)</f>
        <v>1.5</v>
      </c>
    </row>
    <row r="357" spans="1:15">
      <c r="E357" s="9">
        <f t="shared" si="194"/>
        <v>357</v>
      </c>
      <c r="F357" s="9" t="s">
        <v>31</v>
      </c>
      <c r="G357" s="23">
        <v>360</v>
      </c>
      <c r="L357" s="9" t="s">
        <v>136</v>
      </c>
      <c r="O357" s="23">
        <f t="shared" ref="O357" si="199">G357/G349*C348</f>
        <v>168</v>
      </c>
    </row>
    <row r="358" spans="1:15">
      <c r="E358" s="9">
        <f t="shared" si="194"/>
        <v>358</v>
      </c>
      <c r="F358" s="9" t="s">
        <v>100</v>
      </c>
      <c r="K358" s="9" t="s">
        <v>139</v>
      </c>
      <c r="O358" s="23">
        <v>2</v>
      </c>
    </row>
    <row r="359" spans="1:15">
      <c r="E359" s="9">
        <f t="shared" si="194"/>
        <v>359</v>
      </c>
      <c r="F359" s="9" t="s">
        <v>127</v>
      </c>
      <c r="O359" s="23">
        <v>1000</v>
      </c>
    </row>
    <row r="360" spans="1:15">
      <c r="E360" s="9">
        <f t="shared" si="194"/>
        <v>360</v>
      </c>
      <c r="F360" s="9" t="s">
        <v>99</v>
      </c>
      <c r="O360" s="23">
        <v>1200</v>
      </c>
    </row>
    <row r="361" spans="1:15">
      <c r="A361" s="22" t="s">
        <v>231</v>
      </c>
      <c r="B361" s="22">
        <f t="shared" ref="B361" si="200">QUOTIENT( D361-1,G362)+1</f>
        <v>2</v>
      </c>
      <c r="C361" s="22">
        <f t="shared" ref="C361" si="201">D361-(B361-1)*G362</f>
        <v>8</v>
      </c>
      <c r="D361" s="22">
        <f>COUNT($D$74:$D360)+1</f>
        <v>23</v>
      </c>
      <c r="F361" s="9" t="s">
        <v>231</v>
      </c>
      <c r="K361" s="9" t="s">
        <v>231</v>
      </c>
      <c r="L361" s="9" t="s">
        <v>231</v>
      </c>
      <c r="M361" s="9" t="s">
        <v>231</v>
      </c>
      <c r="N361" s="9" t="s">
        <v>231</v>
      </c>
    </row>
    <row r="362" spans="1:15">
      <c r="E362" s="9">
        <f t="shared" ref="E362:E373" si="202">ROW(E362)</f>
        <v>362</v>
      </c>
      <c r="F362" s="9" t="s">
        <v>95</v>
      </c>
      <c r="G362" s="23">
        <v>15</v>
      </c>
      <c r="H362" s="23">
        <v>4</v>
      </c>
      <c r="J362" s="23">
        <v>13400</v>
      </c>
      <c r="K362" s="9" t="s">
        <v>231</v>
      </c>
      <c r="L362" s="9" t="s">
        <v>231</v>
      </c>
      <c r="M362" s="9" t="s">
        <v>231</v>
      </c>
      <c r="N362" s="9" t="s">
        <v>231</v>
      </c>
      <c r="O362" s="23">
        <f t="shared" ref="O362" si="203">J362+D361</f>
        <v>13423</v>
      </c>
    </row>
    <row r="363" spans="1:15">
      <c r="E363" s="9">
        <f t="shared" si="202"/>
        <v>363</v>
      </c>
      <c r="F363" s="9" t="s">
        <v>145</v>
      </c>
      <c r="G363" s="23">
        <v>13301</v>
      </c>
      <c r="H363" s="23">
        <v>13302</v>
      </c>
      <c r="I363" s="23">
        <v>13303</v>
      </c>
      <c r="J363" s="23">
        <v>13304</v>
      </c>
      <c r="K363" s="9" t="s">
        <v>231</v>
      </c>
      <c r="L363" s="9" t="s">
        <v>231</v>
      </c>
      <c r="M363" s="9" t="s">
        <v>231</v>
      </c>
      <c r="N363" s="9" t="s">
        <v>231</v>
      </c>
      <c r="O363" s="23" cm="1">
        <f t="array" ref="O363">_xlfn.SWITCH(B361,1,G363,2,H363,3,I363,4,J363)</f>
        <v>13302</v>
      </c>
    </row>
    <row r="364" spans="1:15">
      <c r="E364" s="9">
        <f t="shared" si="202"/>
        <v>364</v>
      </c>
      <c r="F364" s="9" t="s">
        <v>128</v>
      </c>
      <c r="K364" s="9" t="s">
        <v>231</v>
      </c>
      <c r="L364" s="9" t="s">
        <v>231</v>
      </c>
      <c r="M364" s="9" t="s">
        <v>231</v>
      </c>
      <c r="N364" s="9" t="s">
        <v>231</v>
      </c>
      <c r="O364" s="23">
        <v>0</v>
      </c>
    </row>
    <row r="365" spans="1:15">
      <c r="E365" s="9">
        <f t="shared" si="202"/>
        <v>365</v>
      </c>
      <c r="F365" s="9" t="s">
        <v>200</v>
      </c>
      <c r="K365" s="9" t="s">
        <v>231</v>
      </c>
      <c r="L365" s="9" t="s">
        <v>231</v>
      </c>
      <c r="M365" s="9" t="s">
        <v>231</v>
      </c>
      <c r="N365" s="9" t="s">
        <v>231</v>
      </c>
      <c r="O365" s="23">
        <v>60</v>
      </c>
    </row>
    <row r="366" spans="1:15">
      <c r="E366" s="9">
        <f t="shared" si="202"/>
        <v>366</v>
      </c>
      <c r="F366" s="9" t="s">
        <v>29</v>
      </c>
      <c r="O366" s="23" t="s">
        <v>147</v>
      </c>
    </row>
    <row r="367" spans="1:15">
      <c r="E367" s="9">
        <f t="shared" si="202"/>
        <v>367</v>
      </c>
      <c r="F367" s="9" t="s">
        <v>118</v>
      </c>
      <c r="K367" s="9" t="s">
        <v>139</v>
      </c>
      <c r="O367" s="23">
        <v>2</v>
      </c>
    </row>
    <row r="368" spans="1:15">
      <c r="E368" s="9">
        <f t="shared" si="202"/>
        <v>368</v>
      </c>
      <c r="F368" s="9" t="s">
        <v>120</v>
      </c>
      <c r="G368" s="23" t="b">
        <f t="shared" ref="G368" si="204">MOD(B361,2)=0</f>
        <v>1</v>
      </c>
      <c r="H368" s="23" t="s">
        <v>146</v>
      </c>
      <c r="I368" s="23" t="s">
        <v>244</v>
      </c>
      <c r="O368" s="23" t="str">
        <f t="shared" ref="O368" si="205">IF(G368,H368,I368)</f>
        <v>Shot5_yellow</v>
      </c>
    </row>
    <row r="369" spans="1:15">
      <c r="E369" s="9">
        <f t="shared" si="202"/>
        <v>369</v>
      </c>
      <c r="F369" s="9" t="s">
        <v>30</v>
      </c>
      <c r="H369" s="23">
        <v>1.5</v>
      </c>
      <c r="I369" s="23">
        <v>1</v>
      </c>
      <c r="O369" s="23">
        <f t="shared" ref="O369" si="206">IF(B361&lt;=2,H369,I369)</f>
        <v>1.5</v>
      </c>
    </row>
    <row r="370" spans="1:15">
      <c r="E370" s="9">
        <f t="shared" si="202"/>
        <v>370</v>
      </c>
      <c r="F370" s="9" t="s">
        <v>31</v>
      </c>
      <c r="G370" s="23">
        <v>360</v>
      </c>
      <c r="L370" s="9" t="s">
        <v>136</v>
      </c>
      <c r="O370" s="23">
        <f t="shared" ref="O370" si="207">G370/G362*C361</f>
        <v>192</v>
      </c>
    </row>
    <row r="371" spans="1:15">
      <c r="E371" s="9">
        <f t="shared" si="202"/>
        <v>371</v>
      </c>
      <c r="F371" s="9" t="s">
        <v>100</v>
      </c>
      <c r="K371" s="9" t="s">
        <v>139</v>
      </c>
      <c r="O371" s="23">
        <v>2</v>
      </c>
    </row>
    <row r="372" spans="1:15">
      <c r="E372" s="9">
        <f t="shared" si="202"/>
        <v>372</v>
      </c>
      <c r="F372" s="9" t="s">
        <v>127</v>
      </c>
      <c r="O372" s="23">
        <v>1000</v>
      </c>
    </row>
    <row r="373" spans="1:15">
      <c r="E373" s="9">
        <f t="shared" si="202"/>
        <v>373</v>
      </c>
      <c r="F373" s="9" t="s">
        <v>99</v>
      </c>
      <c r="O373" s="23">
        <v>1200</v>
      </c>
    </row>
    <row r="374" spans="1:15">
      <c r="A374" s="22" t="s">
        <v>231</v>
      </c>
      <c r="B374" s="22">
        <f t="shared" ref="B374" si="208">QUOTIENT( D374-1,G375)+1</f>
        <v>2</v>
      </c>
      <c r="C374" s="22">
        <f t="shared" ref="C374" si="209">D374-(B374-1)*G375</f>
        <v>9</v>
      </c>
      <c r="D374" s="22">
        <f>COUNT($D$74:$D373)+1</f>
        <v>24</v>
      </c>
      <c r="F374" s="9" t="s">
        <v>231</v>
      </c>
      <c r="K374" s="9" t="s">
        <v>231</v>
      </c>
      <c r="L374" s="9" t="s">
        <v>231</v>
      </c>
      <c r="M374" s="9" t="s">
        <v>231</v>
      </c>
      <c r="N374" s="9" t="s">
        <v>231</v>
      </c>
    </row>
    <row r="375" spans="1:15">
      <c r="E375" s="9">
        <f t="shared" ref="E375:E386" si="210">ROW(E375)</f>
        <v>375</v>
      </c>
      <c r="F375" s="9" t="s">
        <v>95</v>
      </c>
      <c r="G375" s="23">
        <v>15</v>
      </c>
      <c r="H375" s="23">
        <v>4</v>
      </c>
      <c r="J375" s="23">
        <v>13400</v>
      </c>
      <c r="K375" s="9" t="s">
        <v>231</v>
      </c>
      <c r="L375" s="9" t="s">
        <v>231</v>
      </c>
      <c r="M375" s="9" t="s">
        <v>231</v>
      </c>
      <c r="N375" s="9" t="s">
        <v>231</v>
      </c>
      <c r="O375" s="23">
        <f t="shared" ref="O375" si="211">J375+D374</f>
        <v>13424</v>
      </c>
    </row>
    <row r="376" spans="1:15">
      <c r="E376" s="9">
        <f t="shared" si="210"/>
        <v>376</v>
      </c>
      <c r="F376" s="9" t="s">
        <v>145</v>
      </c>
      <c r="G376" s="23">
        <v>13301</v>
      </c>
      <c r="H376" s="23">
        <v>13302</v>
      </c>
      <c r="I376" s="23">
        <v>13303</v>
      </c>
      <c r="J376" s="23">
        <v>13304</v>
      </c>
      <c r="K376" s="9" t="s">
        <v>231</v>
      </c>
      <c r="L376" s="9" t="s">
        <v>231</v>
      </c>
      <c r="M376" s="9" t="s">
        <v>231</v>
      </c>
      <c r="N376" s="9" t="s">
        <v>231</v>
      </c>
      <c r="O376" s="23" cm="1">
        <f t="array" ref="O376">_xlfn.SWITCH(B374,1,G376,2,H376,3,I376,4,J376)</f>
        <v>13302</v>
      </c>
    </row>
    <row r="377" spans="1:15">
      <c r="E377" s="9">
        <f t="shared" si="210"/>
        <v>377</v>
      </c>
      <c r="F377" s="9" t="s">
        <v>128</v>
      </c>
      <c r="K377" s="9" t="s">
        <v>231</v>
      </c>
      <c r="L377" s="9" t="s">
        <v>231</v>
      </c>
      <c r="M377" s="9" t="s">
        <v>231</v>
      </c>
      <c r="N377" s="9" t="s">
        <v>231</v>
      </c>
      <c r="O377" s="23">
        <v>0</v>
      </c>
    </row>
    <row r="378" spans="1:15">
      <c r="E378" s="9">
        <f t="shared" si="210"/>
        <v>378</v>
      </c>
      <c r="F378" s="9" t="s">
        <v>200</v>
      </c>
      <c r="K378" s="9" t="s">
        <v>231</v>
      </c>
      <c r="L378" s="9" t="s">
        <v>231</v>
      </c>
      <c r="M378" s="9" t="s">
        <v>231</v>
      </c>
      <c r="N378" s="9" t="s">
        <v>231</v>
      </c>
      <c r="O378" s="23">
        <v>60</v>
      </c>
    </row>
    <row r="379" spans="1:15">
      <c r="E379" s="9">
        <f t="shared" si="210"/>
        <v>379</v>
      </c>
      <c r="F379" s="9" t="s">
        <v>29</v>
      </c>
      <c r="O379" s="23" t="s">
        <v>147</v>
      </c>
    </row>
    <row r="380" spans="1:15">
      <c r="E380" s="9">
        <f t="shared" si="210"/>
        <v>380</v>
      </c>
      <c r="F380" s="9" t="s">
        <v>118</v>
      </c>
      <c r="K380" s="9" t="s">
        <v>139</v>
      </c>
      <c r="O380" s="23">
        <v>2</v>
      </c>
    </row>
    <row r="381" spans="1:15">
      <c r="E381" s="9">
        <f t="shared" si="210"/>
        <v>381</v>
      </c>
      <c r="F381" s="9" t="s">
        <v>120</v>
      </c>
      <c r="G381" s="23" t="b">
        <f t="shared" ref="G381" si="212">MOD(B374,2)=0</f>
        <v>1</v>
      </c>
      <c r="H381" s="23" t="s">
        <v>146</v>
      </c>
      <c r="I381" s="23" t="s">
        <v>244</v>
      </c>
      <c r="O381" s="23" t="str">
        <f t="shared" ref="O381" si="213">IF(G381,H381,I381)</f>
        <v>Shot5_yellow</v>
      </c>
    </row>
    <row r="382" spans="1:15">
      <c r="E382" s="9">
        <f t="shared" si="210"/>
        <v>382</v>
      </c>
      <c r="F382" s="9" t="s">
        <v>30</v>
      </c>
      <c r="H382" s="23">
        <v>1.5</v>
      </c>
      <c r="I382" s="23">
        <v>1</v>
      </c>
      <c r="O382" s="23">
        <f t="shared" ref="O382" si="214">IF(B374&lt;=2,H382,I382)</f>
        <v>1.5</v>
      </c>
    </row>
    <row r="383" spans="1:15">
      <c r="E383" s="9">
        <f t="shared" si="210"/>
        <v>383</v>
      </c>
      <c r="F383" s="9" t="s">
        <v>31</v>
      </c>
      <c r="G383" s="23">
        <v>360</v>
      </c>
      <c r="L383" s="9" t="s">
        <v>136</v>
      </c>
      <c r="O383" s="23">
        <f t="shared" ref="O383" si="215">G383/G375*C374</f>
        <v>216</v>
      </c>
    </row>
    <row r="384" spans="1:15">
      <c r="E384" s="9">
        <f t="shared" si="210"/>
        <v>384</v>
      </c>
      <c r="F384" s="9" t="s">
        <v>100</v>
      </c>
      <c r="K384" s="9" t="s">
        <v>139</v>
      </c>
      <c r="O384" s="23">
        <v>2</v>
      </c>
    </row>
    <row r="385" spans="1:15">
      <c r="E385" s="9">
        <f t="shared" si="210"/>
        <v>385</v>
      </c>
      <c r="F385" s="9" t="s">
        <v>127</v>
      </c>
      <c r="O385" s="23">
        <v>1000</v>
      </c>
    </row>
    <row r="386" spans="1:15">
      <c r="E386" s="9">
        <f t="shared" si="210"/>
        <v>386</v>
      </c>
      <c r="F386" s="9" t="s">
        <v>99</v>
      </c>
      <c r="O386" s="23">
        <v>1200</v>
      </c>
    </row>
    <row r="387" spans="1:15">
      <c r="A387" s="22" t="s">
        <v>231</v>
      </c>
      <c r="B387" s="22">
        <f t="shared" ref="B387" si="216">QUOTIENT( D387-1,G388)+1</f>
        <v>2</v>
      </c>
      <c r="C387" s="22">
        <f t="shared" ref="C387" si="217">D387-(B387-1)*G388</f>
        <v>10</v>
      </c>
      <c r="D387" s="22">
        <f>COUNT($D$74:$D386)+1</f>
        <v>25</v>
      </c>
      <c r="F387" s="9" t="s">
        <v>231</v>
      </c>
      <c r="K387" s="9" t="s">
        <v>231</v>
      </c>
      <c r="L387" s="9" t="s">
        <v>231</v>
      </c>
      <c r="M387" s="9" t="s">
        <v>231</v>
      </c>
      <c r="N387" s="9" t="s">
        <v>231</v>
      </c>
    </row>
    <row r="388" spans="1:15">
      <c r="E388" s="9">
        <f t="shared" ref="E388:E399" si="218">ROW(E388)</f>
        <v>388</v>
      </c>
      <c r="F388" s="9" t="s">
        <v>95</v>
      </c>
      <c r="G388" s="23">
        <v>15</v>
      </c>
      <c r="H388" s="23">
        <v>4</v>
      </c>
      <c r="J388" s="23">
        <v>13400</v>
      </c>
      <c r="K388" s="9" t="s">
        <v>231</v>
      </c>
      <c r="L388" s="9" t="s">
        <v>231</v>
      </c>
      <c r="M388" s="9" t="s">
        <v>231</v>
      </c>
      <c r="N388" s="9" t="s">
        <v>231</v>
      </c>
      <c r="O388" s="23">
        <f t="shared" ref="O388" si="219">J388+D387</f>
        <v>13425</v>
      </c>
    </row>
    <row r="389" spans="1:15">
      <c r="E389" s="9">
        <f t="shared" si="218"/>
        <v>389</v>
      </c>
      <c r="F389" s="9" t="s">
        <v>145</v>
      </c>
      <c r="G389" s="23">
        <v>13301</v>
      </c>
      <c r="H389" s="23">
        <v>13302</v>
      </c>
      <c r="I389" s="23">
        <v>13303</v>
      </c>
      <c r="J389" s="23">
        <v>13304</v>
      </c>
      <c r="K389" s="9" t="s">
        <v>231</v>
      </c>
      <c r="L389" s="9" t="s">
        <v>231</v>
      </c>
      <c r="M389" s="9" t="s">
        <v>231</v>
      </c>
      <c r="N389" s="9" t="s">
        <v>231</v>
      </c>
      <c r="O389" s="23" cm="1">
        <f t="array" ref="O389">_xlfn.SWITCH(B387,1,G389,2,H389,3,I389,4,J389)</f>
        <v>13302</v>
      </c>
    </row>
    <row r="390" spans="1:15">
      <c r="E390" s="9">
        <f t="shared" si="218"/>
        <v>390</v>
      </c>
      <c r="F390" s="9" t="s">
        <v>128</v>
      </c>
      <c r="K390" s="9" t="s">
        <v>231</v>
      </c>
      <c r="L390" s="9" t="s">
        <v>231</v>
      </c>
      <c r="M390" s="9" t="s">
        <v>231</v>
      </c>
      <c r="N390" s="9" t="s">
        <v>231</v>
      </c>
      <c r="O390" s="23">
        <v>0</v>
      </c>
    </row>
    <row r="391" spans="1:15">
      <c r="E391" s="9">
        <f t="shared" si="218"/>
        <v>391</v>
      </c>
      <c r="F391" s="9" t="s">
        <v>200</v>
      </c>
      <c r="K391" s="9" t="s">
        <v>231</v>
      </c>
      <c r="L391" s="9" t="s">
        <v>231</v>
      </c>
      <c r="M391" s="9" t="s">
        <v>231</v>
      </c>
      <c r="N391" s="9" t="s">
        <v>231</v>
      </c>
      <c r="O391" s="23">
        <v>60</v>
      </c>
    </row>
    <row r="392" spans="1:15">
      <c r="E392" s="9">
        <f t="shared" si="218"/>
        <v>392</v>
      </c>
      <c r="F392" s="9" t="s">
        <v>29</v>
      </c>
      <c r="O392" s="23" t="s">
        <v>147</v>
      </c>
    </row>
    <row r="393" spans="1:15">
      <c r="E393" s="9">
        <f t="shared" si="218"/>
        <v>393</v>
      </c>
      <c r="F393" s="9" t="s">
        <v>118</v>
      </c>
      <c r="K393" s="9" t="s">
        <v>139</v>
      </c>
      <c r="O393" s="23">
        <v>2</v>
      </c>
    </row>
    <row r="394" spans="1:15">
      <c r="E394" s="9">
        <f t="shared" si="218"/>
        <v>394</v>
      </c>
      <c r="F394" s="9" t="s">
        <v>120</v>
      </c>
      <c r="G394" s="23" t="b">
        <f t="shared" ref="G394" si="220">MOD(B387,2)=0</f>
        <v>1</v>
      </c>
      <c r="H394" s="23" t="s">
        <v>146</v>
      </c>
      <c r="I394" s="23" t="s">
        <v>244</v>
      </c>
      <c r="O394" s="23" t="str">
        <f t="shared" ref="O394" si="221">IF(G394,H394,I394)</f>
        <v>Shot5_yellow</v>
      </c>
    </row>
    <row r="395" spans="1:15">
      <c r="E395" s="9">
        <f t="shared" si="218"/>
        <v>395</v>
      </c>
      <c r="F395" s="9" t="s">
        <v>30</v>
      </c>
      <c r="H395" s="23">
        <v>1.5</v>
      </c>
      <c r="I395" s="23">
        <v>1</v>
      </c>
      <c r="O395" s="23">
        <f t="shared" ref="O395" si="222">IF(B387&lt;=2,H395,I395)</f>
        <v>1.5</v>
      </c>
    </row>
    <row r="396" spans="1:15">
      <c r="E396" s="9">
        <f t="shared" si="218"/>
        <v>396</v>
      </c>
      <c r="F396" s="9" t="s">
        <v>31</v>
      </c>
      <c r="G396" s="23">
        <v>360</v>
      </c>
      <c r="L396" s="9" t="s">
        <v>136</v>
      </c>
      <c r="O396" s="23">
        <f t="shared" ref="O396" si="223">G396/G388*C387</f>
        <v>240</v>
      </c>
    </row>
    <row r="397" spans="1:15">
      <c r="E397" s="9">
        <f t="shared" si="218"/>
        <v>397</v>
      </c>
      <c r="F397" s="9" t="s">
        <v>100</v>
      </c>
      <c r="K397" s="9" t="s">
        <v>139</v>
      </c>
      <c r="O397" s="23">
        <v>2</v>
      </c>
    </row>
    <row r="398" spans="1:15">
      <c r="E398" s="9">
        <f t="shared" si="218"/>
        <v>398</v>
      </c>
      <c r="F398" s="9" t="s">
        <v>127</v>
      </c>
      <c r="O398" s="23">
        <v>1000</v>
      </c>
    </row>
    <row r="399" spans="1:15">
      <c r="E399" s="9">
        <f t="shared" si="218"/>
        <v>399</v>
      </c>
      <c r="F399" s="9" t="s">
        <v>99</v>
      </c>
      <c r="O399" s="23">
        <v>1200</v>
      </c>
    </row>
    <row r="400" spans="1:15">
      <c r="A400" s="22" t="s">
        <v>231</v>
      </c>
      <c r="B400" s="22">
        <f t="shared" ref="B400" si="224">QUOTIENT( D400-1,G401)+1</f>
        <v>2</v>
      </c>
      <c r="C400" s="22">
        <f t="shared" ref="C400" si="225">D400-(B400-1)*G401</f>
        <v>11</v>
      </c>
      <c r="D400" s="22">
        <f>COUNT($D$74:$D399)+1</f>
        <v>26</v>
      </c>
      <c r="F400" s="9" t="s">
        <v>231</v>
      </c>
      <c r="K400" s="9" t="s">
        <v>231</v>
      </c>
      <c r="L400" s="9" t="s">
        <v>231</v>
      </c>
      <c r="M400" s="9" t="s">
        <v>231</v>
      </c>
      <c r="N400" s="9" t="s">
        <v>231</v>
      </c>
    </row>
    <row r="401" spans="1:15">
      <c r="E401" s="9">
        <f t="shared" ref="E401:E412" si="226">ROW(E401)</f>
        <v>401</v>
      </c>
      <c r="F401" s="9" t="s">
        <v>95</v>
      </c>
      <c r="G401" s="23">
        <v>15</v>
      </c>
      <c r="H401" s="23">
        <v>4</v>
      </c>
      <c r="J401" s="23">
        <v>13400</v>
      </c>
      <c r="K401" s="9" t="s">
        <v>231</v>
      </c>
      <c r="L401" s="9" t="s">
        <v>231</v>
      </c>
      <c r="M401" s="9" t="s">
        <v>231</v>
      </c>
      <c r="N401" s="9" t="s">
        <v>231</v>
      </c>
      <c r="O401" s="23">
        <f t="shared" ref="O401" si="227">J401+D400</f>
        <v>13426</v>
      </c>
    </row>
    <row r="402" spans="1:15">
      <c r="E402" s="9">
        <f t="shared" si="226"/>
        <v>402</v>
      </c>
      <c r="F402" s="9" t="s">
        <v>145</v>
      </c>
      <c r="G402" s="23">
        <v>13301</v>
      </c>
      <c r="H402" s="23">
        <v>13302</v>
      </c>
      <c r="I402" s="23">
        <v>13303</v>
      </c>
      <c r="J402" s="23">
        <v>13304</v>
      </c>
      <c r="K402" s="9" t="s">
        <v>231</v>
      </c>
      <c r="L402" s="9" t="s">
        <v>231</v>
      </c>
      <c r="M402" s="9" t="s">
        <v>231</v>
      </c>
      <c r="N402" s="9" t="s">
        <v>231</v>
      </c>
      <c r="O402" s="23" cm="1">
        <f t="array" ref="O402">_xlfn.SWITCH(B400,1,G402,2,H402,3,I402,4,J402)</f>
        <v>13302</v>
      </c>
    </row>
    <row r="403" spans="1:15">
      <c r="E403" s="9">
        <f t="shared" si="226"/>
        <v>403</v>
      </c>
      <c r="F403" s="9" t="s">
        <v>128</v>
      </c>
      <c r="K403" s="9" t="s">
        <v>231</v>
      </c>
      <c r="L403" s="9" t="s">
        <v>231</v>
      </c>
      <c r="M403" s="9" t="s">
        <v>231</v>
      </c>
      <c r="N403" s="9" t="s">
        <v>231</v>
      </c>
      <c r="O403" s="23">
        <v>0</v>
      </c>
    </row>
    <row r="404" spans="1:15">
      <c r="E404" s="9">
        <f t="shared" si="226"/>
        <v>404</v>
      </c>
      <c r="F404" s="9" t="s">
        <v>200</v>
      </c>
      <c r="K404" s="9" t="s">
        <v>231</v>
      </c>
      <c r="L404" s="9" t="s">
        <v>231</v>
      </c>
      <c r="M404" s="9" t="s">
        <v>231</v>
      </c>
      <c r="N404" s="9" t="s">
        <v>231</v>
      </c>
      <c r="O404" s="23">
        <v>60</v>
      </c>
    </row>
    <row r="405" spans="1:15">
      <c r="E405" s="9">
        <f t="shared" si="226"/>
        <v>405</v>
      </c>
      <c r="F405" s="9" t="s">
        <v>29</v>
      </c>
      <c r="O405" s="23" t="s">
        <v>147</v>
      </c>
    </row>
    <row r="406" spans="1:15">
      <c r="E406" s="9">
        <f t="shared" si="226"/>
        <v>406</v>
      </c>
      <c r="F406" s="9" t="s">
        <v>118</v>
      </c>
      <c r="K406" s="9" t="s">
        <v>139</v>
      </c>
      <c r="O406" s="23">
        <v>2</v>
      </c>
    </row>
    <row r="407" spans="1:15">
      <c r="E407" s="9">
        <f t="shared" si="226"/>
        <v>407</v>
      </c>
      <c r="F407" s="9" t="s">
        <v>120</v>
      </c>
      <c r="G407" s="23" t="b">
        <f t="shared" ref="G407" si="228">MOD(B400,2)=0</f>
        <v>1</v>
      </c>
      <c r="H407" s="23" t="s">
        <v>146</v>
      </c>
      <c r="I407" s="23" t="s">
        <v>244</v>
      </c>
      <c r="O407" s="23" t="str">
        <f t="shared" ref="O407" si="229">IF(G407,H407,I407)</f>
        <v>Shot5_yellow</v>
      </c>
    </row>
    <row r="408" spans="1:15">
      <c r="E408" s="9">
        <f t="shared" si="226"/>
        <v>408</v>
      </c>
      <c r="F408" s="9" t="s">
        <v>30</v>
      </c>
      <c r="H408" s="23">
        <v>1.5</v>
      </c>
      <c r="I408" s="23">
        <v>1</v>
      </c>
      <c r="O408" s="23">
        <f t="shared" ref="O408" si="230">IF(B400&lt;=2,H408,I408)</f>
        <v>1.5</v>
      </c>
    </row>
    <row r="409" spans="1:15">
      <c r="E409" s="9">
        <f t="shared" si="226"/>
        <v>409</v>
      </c>
      <c r="F409" s="9" t="s">
        <v>31</v>
      </c>
      <c r="G409" s="23">
        <v>360</v>
      </c>
      <c r="L409" s="9" t="s">
        <v>136</v>
      </c>
      <c r="O409" s="23">
        <f t="shared" ref="O409" si="231">G409/G401*C400</f>
        <v>264</v>
      </c>
    </row>
    <row r="410" spans="1:15">
      <c r="E410" s="9">
        <f t="shared" si="226"/>
        <v>410</v>
      </c>
      <c r="F410" s="9" t="s">
        <v>100</v>
      </c>
      <c r="K410" s="9" t="s">
        <v>139</v>
      </c>
      <c r="O410" s="23">
        <v>2</v>
      </c>
    </row>
    <row r="411" spans="1:15">
      <c r="E411" s="9">
        <f t="shared" si="226"/>
        <v>411</v>
      </c>
      <c r="F411" s="9" t="s">
        <v>127</v>
      </c>
      <c r="O411" s="23">
        <v>1000</v>
      </c>
    </row>
    <row r="412" spans="1:15">
      <c r="E412" s="9">
        <f t="shared" si="226"/>
        <v>412</v>
      </c>
      <c r="F412" s="9" t="s">
        <v>99</v>
      </c>
      <c r="O412" s="23">
        <v>1200</v>
      </c>
    </row>
    <row r="413" spans="1:15">
      <c r="A413" s="22" t="s">
        <v>231</v>
      </c>
      <c r="B413" s="22">
        <f t="shared" ref="B413" si="232">QUOTIENT( D413-1,G414)+1</f>
        <v>2</v>
      </c>
      <c r="C413" s="22">
        <f t="shared" ref="C413" si="233">D413-(B413-1)*G414</f>
        <v>12</v>
      </c>
      <c r="D413" s="22">
        <f>COUNT($D$74:$D412)+1</f>
        <v>27</v>
      </c>
      <c r="F413" s="9" t="s">
        <v>231</v>
      </c>
      <c r="K413" s="9" t="s">
        <v>231</v>
      </c>
      <c r="L413" s="9" t="s">
        <v>231</v>
      </c>
      <c r="M413" s="9" t="s">
        <v>231</v>
      </c>
      <c r="N413" s="9" t="s">
        <v>231</v>
      </c>
    </row>
    <row r="414" spans="1:15">
      <c r="E414" s="9">
        <f t="shared" ref="E414:E425" si="234">ROW(E414)</f>
        <v>414</v>
      </c>
      <c r="F414" s="9" t="s">
        <v>95</v>
      </c>
      <c r="G414" s="23">
        <v>15</v>
      </c>
      <c r="H414" s="23">
        <v>4</v>
      </c>
      <c r="J414" s="23">
        <v>13400</v>
      </c>
      <c r="K414" s="9" t="s">
        <v>231</v>
      </c>
      <c r="L414" s="9" t="s">
        <v>231</v>
      </c>
      <c r="M414" s="9" t="s">
        <v>231</v>
      </c>
      <c r="N414" s="9" t="s">
        <v>231</v>
      </c>
      <c r="O414" s="23">
        <f t="shared" ref="O414" si="235">J414+D413</f>
        <v>13427</v>
      </c>
    </row>
    <row r="415" spans="1:15">
      <c r="E415" s="9">
        <f t="shared" si="234"/>
        <v>415</v>
      </c>
      <c r="F415" s="9" t="s">
        <v>145</v>
      </c>
      <c r="G415" s="23">
        <v>13301</v>
      </c>
      <c r="H415" s="23">
        <v>13302</v>
      </c>
      <c r="I415" s="23">
        <v>13303</v>
      </c>
      <c r="J415" s="23">
        <v>13304</v>
      </c>
      <c r="K415" s="9" t="s">
        <v>231</v>
      </c>
      <c r="L415" s="9" t="s">
        <v>231</v>
      </c>
      <c r="M415" s="9" t="s">
        <v>231</v>
      </c>
      <c r="N415" s="9" t="s">
        <v>231</v>
      </c>
      <c r="O415" s="23" cm="1">
        <f t="array" ref="O415">_xlfn.SWITCH(B413,1,G415,2,H415,3,I415,4,J415)</f>
        <v>13302</v>
      </c>
    </row>
    <row r="416" spans="1:15">
      <c r="E416" s="9">
        <f t="shared" si="234"/>
        <v>416</v>
      </c>
      <c r="F416" s="9" t="s">
        <v>128</v>
      </c>
      <c r="K416" s="9" t="s">
        <v>231</v>
      </c>
      <c r="L416" s="9" t="s">
        <v>231</v>
      </c>
      <c r="M416" s="9" t="s">
        <v>231</v>
      </c>
      <c r="N416" s="9" t="s">
        <v>231</v>
      </c>
      <c r="O416" s="23">
        <v>0</v>
      </c>
    </row>
    <row r="417" spans="1:15">
      <c r="E417" s="9">
        <f t="shared" si="234"/>
        <v>417</v>
      </c>
      <c r="F417" s="9" t="s">
        <v>200</v>
      </c>
      <c r="K417" s="9" t="s">
        <v>231</v>
      </c>
      <c r="L417" s="9" t="s">
        <v>231</v>
      </c>
      <c r="M417" s="9" t="s">
        <v>231</v>
      </c>
      <c r="N417" s="9" t="s">
        <v>231</v>
      </c>
      <c r="O417" s="23">
        <v>60</v>
      </c>
    </row>
    <row r="418" spans="1:15">
      <c r="E418" s="9">
        <f t="shared" si="234"/>
        <v>418</v>
      </c>
      <c r="F418" s="9" t="s">
        <v>29</v>
      </c>
      <c r="O418" s="23" t="s">
        <v>147</v>
      </c>
    </row>
    <row r="419" spans="1:15">
      <c r="E419" s="9">
        <f t="shared" si="234"/>
        <v>419</v>
      </c>
      <c r="F419" s="9" t="s">
        <v>118</v>
      </c>
      <c r="K419" s="9" t="s">
        <v>139</v>
      </c>
      <c r="O419" s="23">
        <v>2</v>
      </c>
    </row>
    <row r="420" spans="1:15">
      <c r="E420" s="9">
        <f t="shared" si="234"/>
        <v>420</v>
      </c>
      <c r="F420" s="9" t="s">
        <v>120</v>
      </c>
      <c r="G420" s="23" t="b">
        <f t="shared" ref="G420" si="236">MOD(B413,2)=0</f>
        <v>1</v>
      </c>
      <c r="H420" s="23" t="s">
        <v>146</v>
      </c>
      <c r="I420" s="23" t="s">
        <v>244</v>
      </c>
      <c r="O420" s="23" t="str">
        <f t="shared" ref="O420" si="237">IF(G420,H420,I420)</f>
        <v>Shot5_yellow</v>
      </c>
    </row>
    <row r="421" spans="1:15">
      <c r="E421" s="9">
        <f t="shared" si="234"/>
        <v>421</v>
      </c>
      <c r="F421" s="9" t="s">
        <v>30</v>
      </c>
      <c r="H421" s="23">
        <v>1.5</v>
      </c>
      <c r="I421" s="23">
        <v>1</v>
      </c>
      <c r="O421" s="23">
        <f t="shared" ref="O421" si="238">IF(B413&lt;=2,H421,I421)</f>
        <v>1.5</v>
      </c>
    </row>
    <row r="422" spans="1:15">
      <c r="E422" s="9">
        <f t="shared" si="234"/>
        <v>422</v>
      </c>
      <c r="F422" s="9" t="s">
        <v>31</v>
      </c>
      <c r="G422" s="23">
        <v>360</v>
      </c>
      <c r="L422" s="9" t="s">
        <v>136</v>
      </c>
      <c r="O422" s="23">
        <f t="shared" ref="O422" si="239">G422/G414*C413</f>
        <v>288</v>
      </c>
    </row>
    <row r="423" spans="1:15">
      <c r="E423" s="9">
        <f t="shared" si="234"/>
        <v>423</v>
      </c>
      <c r="F423" s="9" t="s">
        <v>100</v>
      </c>
      <c r="K423" s="9" t="s">
        <v>139</v>
      </c>
      <c r="O423" s="23">
        <v>2</v>
      </c>
    </row>
    <row r="424" spans="1:15">
      <c r="E424" s="9">
        <f t="shared" si="234"/>
        <v>424</v>
      </c>
      <c r="F424" s="9" t="s">
        <v>127</v>
      </c>
      <c r="O424" s="23">
        <v>1000</v>
      </c>
    </row>
    <row r="425" spans="1:15">
      <c r="E425" s="9">
        <f t="shared" si="234"/>
        <v>425</v>
      </c>
      <c r="F425" s="9" t="s">
        <v>99</v>
      </c>
      <c r="O425" s="23">
        <v>1200</v>
      </c>
    </row>
    <row r="426" spans="1:15">
      <c r="A426" s="22" t="s">
        <v>231</v>
      </c>
      <c r="B426" s="22">
        <f t="shared" ref="B426" si="240">QUOTIENT( D426-1,G427)+1</f>
        <v>2</v>
      </c>
      <c r="C426" s="22">
        <f t="shared" ref="C426" si="241">D426-(B426-1)*G427</f>
        <v>13</v>
      </c>
      <c r="D426" s="22">
        <f>COUNT($D$74:$D425)+1</f>
        <v>28</v>
      </c>
      <c r="F426" s="9" t="s">
        <v>231</v>
      </c>
      <c r="K426" s="9" t="s">
        <v>231</v>
      </c>
      <c r="L426" s="9" t="s">
        <v>231</v>
      </c>
      <c r="M426" s="9" t="s">
        <v>231</v>
      </c>
      <c r="N426" s="9" t="s">
        <v>231</v>
      </c>
    </row>
    <row r="427" spans="1:15">
      <c r="E427" s="9">
        <f t="shared" ref="E427:E438" si="242">ROW(E427)</f>
        <v>427</v>
      </c>
      <c r="F427" s="9" t="s">
        <v>95</v>
      </c>
      <c r="G427" s="23">
        <v>15</v>
      </c>
      <c r="H427" s="23">
        <v>4</v>
      </c>
      <c r="J427" s="23">
        <v>13400</v>
      </c>
      <c r="K427" s="9" t="s">
        <v>231</v>
      </c>
      <c r="L427" s="9" t="s">
        <v>231</v>
      </c>
      <c r="M427" s="9" t="s">
        <v>231</v>
      </c>
      <c r="N427" s="9" t="s">
        <v>231</v>
      </c>
      <c r="O427" s="23">
        <f t="shared" ref="O427" si="243">J427+D426</f>
        <v>13428</v>
      </c>
    </row>
    <row r="428" spans="1:15">
      <c r="E428" s="9">
        <f t="shared" si="242"/>
        <v>428</v>
      </c>
      <c r="F428" s="9" t="s">
        <v>145</v>
      </c>
      <c r="G428" s="23">
        <v>13301</v>
      </c>
      <c r="H428" s="23">
        <v>13302</v>
      </c>
      <c r="I428" s="23">
        <v>13303</v>
      </c>
      <c r="J428" s="23">
        <v>13304</v>
      </c>
      <c r="K428" s="9" t="s">
        <v>231</v>
      </c>
      <c r="L428" s="9" t="s">
        <v>231</v>
      </c>
      <c r="M428" s="9" t="s">
        <v>231</v>
      </c>
      <c r="N428" s="9" t="s">
        <v>231</v>
      </c>
      <c r="O428" s="23" cm="1">
        <f t="array" ref="O428">_xlfn.SWITCH(B426,1,G428,2,H428,3,I428,4,J428)</f>
        <v>13302</v>
      </c>
    </row>
    <row r="429" spans="1:15">
      <c r="E429" s="9">
        <f t="shared" si="242"/>
        <v>429</v>
      </c>
      <c r="F429" s="9" t="s">
        <v>128</v>
      </c>
      <c r="K429" s="9" t="s">
        <v>231</v>
      </c>
      <c r="L429" s="9" t="s">
        <v>231</v>
      </c>
      <c r="M429" s="9" t="s">
        <v>231</v>
      </c>
      <c r="N429" s="9" t="s">
        <v>231</v>
      </c>
      <c r="O429" s="23">
        <v>0</v>
      </c>
    </row>
    <row r="430" spans="1:15">
      <c r="E430" s="9">
        <f t="shared" si="242"/>
        <v>430</v>
      </c>
      <c r="F430" s="9" t="s">
        <v>200</v>
      </c>
      <c r="K430" s="9" t="s">
        <v>231</v>
      </c>
      <c r="L430" s="9" t="s">
        <v>231</v>
      </c>
      <c r="M430" s="9" t="s">
        <v>231</v>
      </c>
      <c r="N430" s="9" t="s">
        <v>231</v>
      </c>
      <c r="O430" s="23">
        <v>60</v>
      </c>
    </row>
    <row r="431" spans="1:15">
      <c r="E431" s="9">
        <f t="shared" si="242"/>
        <v>431</v>
      </c>
      <c r="F431" s="9" t="s">
        <v>29</v>
      </c>
      <c r="O431" s="23" t="s">
        <v>147</v>
      </c>
    </row>
    <row r="432" spans="1:15">
      <c r="E432" s="9">
        <f t="shared" si="242"/>
        <v>432</v>
      </c>
      <c r="F432" s="9" t="s">
        <v>118</v>
      </c>
      <c r="K432" s="9" t="s">
        <v>139</v>
      </c>
      <c r="O432" s="23">
        <v>2</v>
      </c>
    </row>
    <row r="433" spans="1:15">
      <c r="E433" s="9">
        <f t="shared" si="242"/>
        <v>433</v>
      </c>
      <c r="F433" s="9" t="s">
        <v>120</v>
      </c>
      <c r="G433" s="23" t="b">
        <f t="shared" ref="G433" si="244">MOD(B426,2)=0</f>
        <v>1</v>
      </c>
      <c r="H433" s="23" t="s">
        <v>146</v>
      </c>
      <c r="I433" s="23" t="s">
        <v>244</v>
      </c>
      <c r="O433" s="23" t="str">
        <f t="shared" ref="O433" si="245">IF(G433,H433,I433)</f>
        <v>Shot5_yellow</v>
      </c>
    </row>
    <row r="434" spans="1:15">
      <c r="E434" s="9">
        <f t="shared" si="242"/>
        <v>434</v>
      </c>
      <c r="F434" s="9" t="s">
        <v>30</v>
      </c>
      <c r="H434" s="23">
        <v>1.5</v>
      </c>
      <c r="I434" s="23">
        <v>1</v>
      </c>
      <c r="O434" s="23">
        <f t="shared" ref="O434" si="246">IF(B426&lt;=2,H434,I434)</f>
        <v>1.5</v>
      </c>
    </row>
    <row r="435" spans="1:15">
      <c r="E435" s="9">
        <f t="shared" si="242"/>
        <v>435</v>
      </c>
      <c r="F435" s="9" t="s">
        <v>31</v>
      </c>
      <c r="G435" s="23">
        <v>360</v>
      </c>
      <c r="L435" s="9" t="s">
        <v>136</v>
      </c>
      <c r="O435" s="23">
        <f t="shared" ref="O435" si="247">G435/G427*C426</f>
        <v>312</v>
      </c>
    </row>
    <row r="436" spans="1:15">
      <c r="E436" s="9">
        <f t="shared" si="242"/>
        <v>436</v>
      </c>
      <c r="F436" s="9" t="s">
        <v>100</v>
      </c>
      <c r="K436" s="9" t="s">
        <v>139</v>
      </c>
      <c r="O436" s="23">
        <v>2</v>
      </c>
    </row>
    <row r="437" spans="1:15">
      <c r="E437" s="9">
        <f t="shared" si="242"/>
        <v>437</v>
      </c>
      <c r="F437" s="9" t="s">
        <v>127</v>
      </c>
      <c r="O437" s="23">
        <v>1000</v>
      </c>
    </row>
    <row r="438" spans="1:15">
      <c r="E438" s="9">
        <f t="shared" si="242"/>
        <v>438</v>
      </c>
      <c r="F438" s="9" t="s">
        <v>99</v>
      </c>
      <c r="O438" s="23">
        <v>1200</v>
      </c>
    </row>
    <row r="439" spans="1:15">
      <c r="A439" s="22" t="s">
        <v>231</v>
      </c>
      <c r="B439" s="22">
        <f t="shared" ref="B439" si="248">QUOTIENT( D439-1,G440)+1</f>
        <v>2</v>
      </c>
      <c r="C439" s="22">
        <f t="shared" ref="C439" si="249">D439-(B439-1)*G440</f>
        <v>14</v>
      </c>
      <c r="D439" s="22">
        <f>COUNT($D$74:$D438)+1</f>
        <v>29</v>
      </c>
      <c r="F439" s="9" t="s">
        <v>231</v>
      </c>
      <c r="K439" s="9" t="s">
        <v>231</v>
      </c>
      <c r="L439" s="9" t="s">
        <v>231</v>
      </c>
      <c r="M439" s="9" t="s">
        <v>231</v>
      </c>
      <c r="N439" s="9" t="s">
        <v>231</v>
      </c>
    </row>
    <row r="440" spans="1:15">
      <c r="E440" s="9">
        <f t="shared" ref="E440:E451" si="250">ROW(E440)</f>
        <v>440</v>
      </c>
      <c r="F440" s="9" t="s">
        <v>95</v>
      </c>
      <c r="G440" s="23">
        <v>15</v>
      </c>
      <c r="H440" s="23">
        <v>4</v>
      </c>
      <c r="J440" s="23">
        <v>13400</v>
      </c>
      <c r="K440" s="9" t="s">
        <v>231</v>
      </c>
      <c r="L440" s="9" t="s">
        <v>231</v>
      </c>
      <c r="M440" s="9" t="s">
        <v>231</v>
      </c>
      <c r="N440" s="9" t="s">
        <v>231</v>
      </c>
      <c r="O440" s="23">
        <f t="shared" ref="O440" si="251">J440+D439</f>
        <v>13429</v>
      </c>
    </row>
    <row r="441" spans="1:15">
      <c r="E441" s="9">
        <f t="shared" si="250"/>
        <v>441</v>
      </c>
      <c r="F441" s="9" t="s">
        <v>145</v>
      </c>
      <c r="G441" s="23">
        <v>13301</v>
      </c>
      <c r="H441" s="23">
        <v>13302</v>
      </c>
      <c r="I441" s="23">
        <v>13303</v>
      </c>
      <c r="J441" s="23">
        <v>13304</v>
      </c>
      <c r="K441" s="9" t="s">
        <v>231</v>
      </c>
      <c r="L441" s="9" t="s">
        <v>231</v>
      </c>
      <c r="M441" s="9" t="s">
        <v>231</v>
      </c>
      <c r="N441" s="9" t="s">
        <v>231</v>
      </c>
      <c r="O441" s="23" cm="1">
        <f t="array" ref="O441">_xlfn.SWITCH(B439,1,G441,2,H441,3,I441,4,J441)</f>
        <v>13302</v>
      </c>
    </row>
    <row r="442" spans="1:15">
      <c r="E442" s="9">
        <f t="shared" si="250"/>
        <v>442</v>
      </c>
      <c r="F442" s="9" t="s">
        <v>128</v>
      </c>
      <c r="K442" s="9" t="s">
        <v>231</v>
      </c>
      <c r="L442" s="9" t="s">
        <v>231</v>
      </c>
      <c r="M442" s="9" t="s">
        <v>231</v>
      </c>
      <c r="N442" s="9" t="s">
        <v>231</v>
      </c>
      <c r="O442" s="23">
        <v>0</v>
      </c>
    </row>
    <row r="443" spans="1:15">
      <c r="E443" s="9">
        <f t="shared" si="250"/>
        <v>443</v>
      </c>
      <c r="F443" s="9" t="s">
        <v>200</v>
      </c>
      <c r="K443" s="9" t="s">
        <v>231</v>
      </c>
      <c r="L443" s="9" t="s">
        <v>231</v>
      </c>
      <c r="M443" s="9" t="s">
        <v>231</v>
      </c>
      <c r="N443" s="9" t="s">
        <v>231</v>
      </c>
      <c r="O443" s="23">
        <v>60</v>
      </c>
    </row>
    <row r="444" spans="1:15">
      <c r="E444" s="9">
        <f t="shared" si="250"/>
        <v>444</v>
      </c>
      <c r="F444" s="9" t="s">
        <v>29</v>
      </c>
      <c r="O444" s="23" t="s">
        <v>147</v>
      </c>
    </row>
    <row r="445" spans="1:15">
      <c r="E445" s="9">
        <f t="shared" si="250"/>
        <v>445</v>
      </c>
      <c r="F445" s="9" t="s">
        <v>118</v>
      </c>
      <c r="K445" s="9" t="s">
        <v>139</v>
      </c>
      <c r="O445" s="23">
        <v>2</v>
      </c>
    </row>
    <row r="446" spans="1:15">
      <c r="E446" s="9">
        <f t="shared" si="250"/>
        <v>446</v>
      </c>
      <c r="F446" s="9" t="s">
        <v>120</v>
      </c>
      <c r="G446" s="23" t="b">
        <f t="shared" ref="G446" si="252">MOD(B439,2)=0</f>
        <v>1</v>
      </c>
      <c r="H446" s="23" t="s">
        <v>146</v>
      </c>
      <c r="I446" s="23" t="s">
        <v>244</v>
      </c>
      <c r="O446" s="23" t="str">
        <f t="shared" ref="O446" si="253">IF(G446,H446,I446)</f>
        <v>Shot5_yellow</v>
      </c>
    </row>
    <row r="447" spans="1:15">
      <c r="E447" s="9">
        <f t="shared" si="250"/>
        <v>447</v>
      </c>
      <c r="F447" s="9" t="s">
        <v>30</v>
      </c>
      <c r="H447" s="23">
        <v>1.5</v>
      </c>
      <c r="I447" s="23">
        <v>1</v>
      </c>
      <c r="O447" s="23">
        <f t="shared" ref="O447" si="254">IF(B439&lt;=2,H447,I447)</f>
        <v>1.5</v>
      </c>
    </row>
    <row r="448" spans="1:15">
      <c r="E448" s="9">
        <f t="shared" si="250"/>
        <v>448</v>
      </c>
      <c r="F448" s="9" t="s">
        <v>31</v>
      </c>
      <c r="G448" s="23">
        <v>360</v>
      </c>
      <c r="L448" s="9" t="s">
        <v>136</v>
      </c>
      <c r="O448" s="23">
        <f t="shared" ref="O448" si="255">G448/G440*C439</f>
        <v>336</v>
      </c>
    </row>
    <row r="449" spans="1:15">
      <c r="E449" s="9">
        <f t="shared" si="250"/>
        <v>449</v>
      </c>
      <c r="F449" s="9" t="s">
        <v>100</v>
      </c>
      <c r="K449" s="9" t="s">
        <v>139</v>
      </c>
      <c r="O449" s="23">
        <v>2</v>
      </c>
    </row>
    <row r="450" spans="1:15">
      <c r="E450" s="9">
        <f t="shared" si="250"/>
        <v>450</v>
      </c>
      <c r="F450" s="9" t="s">
        <v>127</v>
      </c>
      <c r="O450" s="23">
        <v>1000</v>
      </c>
    </row>
    <row r="451" spans="1:15">
      <c r="E451" s="9">
        <f t="shared" si="250"/>
        <v>451</v>
      </c>
      <c r="F451" s="9" t="s">
        <v>99</v>
      </c>
      <c r="O451" s="23">
        <v>1200</v>
      </c>
    </row>
    <row r="452" spans="1:15">
      <c r="A452" s="22" t="s">
        <v>231</v>
      </c>
      <c r="B452" s="22">
        <f t="shared" ref="B452" si="256">QUOTIENT( D452-1,G453)+1</f>
        <v>2</v>
      </c>
      <c r="C452" s="22">
        <f t="shared" ref="C452" si="257">D452-(B452-1)*G453</f>
        <v>15</v>
      </c>
      <c r="D452" s="22">
        <f>COUNT($D$74:$D451)+1</f>
        <v>30</v>
      </c>
      <c r="F452" s="9" t="s">
        <v>231</v>
      </c>
      <c r="K452" s="9" t="s">
        <v>231</v>
      </c>
      <c r="L452" s="9" t="s">
        <v>231</v>
      </c>
      <c r="M452" s="9" t="s">
        <v>231</v>
      </c>
      <c r="N452" s="9" t="s">
        <v>231</v>
      </c>
    </row>
    <row r="453" spans="1:15">
      <c r="E453" s="9">
        <f t="shared" ref="E453:E464" si="258">ROW(E453)</f>
        <v>453</v>
      </c>
      <c r="F453" s="9" t="s">
        <v>95</v>
      </c>
      <c r="G453" s="23">
        <v>15</v>
      </c>
      <c r="H453" s="23">
        <v>4</v>
      </c>
      <c r="J453" s="23">
        <v>13400</v>
      </c>
      <c r="K453" s="9" t="s">
        <v>231</v>
      </c>
      <c r="L453" s="9" t="s">
        <v>231</v>
      </c>
      <c r="M453" s="9" t="s">
        <v>231</v>
      </c>
      <c r="N453" s="9" t="s">
        <v>231</v>
      </c>
      <c r="O453" s="23">
        <f t="shared" ref="O453" si="259">J453+D452</f>
        <v>13430</v>
      </c>
    </row>
    <row r="454" spans="1:15">
      <c r="E454" s="9">
        <f t="shared" si="258"/>
        <v>454</v>
      </c>
      <c r="F454" s="9" t="s">
        <v>145</v>
      </c>
      <c r="G454" s="23">
        <v>13301</v>
      </c>
      <c r="H454" s="23">
        <v>13302</v>
      </c>
      <c r="I454" s="23">
        <v>13303</v>
      </c>
      <c r="J454" s="23">
        <v>13304</v>
      </c>
      <c r="K454" s="9" t="s">
        <v>231</v>
      </c>
      <c r="L454" s="9" t="s">
        <v>231</v>
      </c>
      <c r="M454" s="9" t="s">
        <v>231</v>
      </c>
      <c r="N454" s="9" t="s">
        <v>231</v>
      </c>
      <c r="O454" s="23" cm="1">
        <f t="array" ref="O454">_xlfn.SWITCH(B452,1,G454,2,H454,3,I454,4,J454)</f>
        <v>13302</v>
      </c>
    </row>
    <row r="455" spans="1:15">
      <c r="E455" s="9">
        <f t="shared" si="258"/>
        <v>455</v>
      </c>
      <c r="F455" s="9" t="s">
        <v>128</v>
      </c>
      <c r="K455" s="9" t="s">
        <v>231</v>
      </c>
      <c r="L455" s="9" t="s">
        <v>231</v>
      </c>
      <c r="M455" s="9" t="s">
        <v>231</v>
      </c>
      <c r="N455" s="9" t="s">
        <v>231</v>
      </c>
      <c r="O455" s="23">
        <v>0</v>
      </c>
    </row>
    <row r="456" spans="1:15">
      <c r="E456" s="9">
        <f t="shared" si="258"/>
        <v>456</v>
      </c>
      <c r="F456" s="9" t="s">
        <v>200</v>
      </c>
      <c r="K456" s="9" t="s">
        <v>231</v>
      </c>
      <c r="L456" s="9" t="s">
        <v>231</v>
      </c>
      <c r="M456" s="9" t="s">
        <v>231</v>
      </c>
      <c r="N456" s="9" t="s">
        <v>231</v>
      </c>
      <c r="O456" s="23">
        <v>60</v>
      </c>
    </row>
    <row r="457" spans="1:15">
      <c r="E457" s="9">
        <f t="shared" si="258"/>
        <v>457</v>
      </c>
      <c r="F457" s="9" t="s">
        <v>29</v>
      </c>
      <c r="O457" s="23" t="s">
        <v>147</v>
      </c>
    </row>
    <row r="458" spans="1:15">
      <c r="E458" s="9">
        <f t="shared" si="258"/>
        <v>458</v>
      </c>
      <c r="F458" s="9" t="s">
        <v>118</v>
      </c>
      <c r="K458" s="9" t="s">
        <v>139</v>
      </c>
      <c r="O458" s="23">
        <v>2</v>
      </c>
    </row>
    <row r="459" spans="1:15">
      <c r="E459" s="9">
        <f t="shared" si="258"/>
        <v>459</v>
      </c>
      <c r="F459" s="9" t="s">
        <v>120</v>
      </c>
      <c r="G459" s="23" t="b">
        <f t="shared" ref="G459" si="260">MOD(B452,2)=0</f>
        <v>1</v>
      </c>
      <c r="H459" s="23" t="s">
        <v>146</v>
      </c>
      <c r="I459" s="23" t="s">
        <v>244</v>
      </c>
      <c r="O459" s="23" t="str">
        <f t="shared" ref="O459" si="261">IF(G459,H459,I459)</f>
        <v>Shot5_yellow</v>
      </c>
    </row>
    <row r="460" spans="1:15">
      <c r="E460" s="9">
        <f t="shared" si="258"/>
        <v>460</v>
      </c>
      <c r="F460" s="9" t="s">
        <v>30</v>
      </c>
      <c r="H460" s="23">
        <v>1.5</v>
      </c>
      <c r="I460" s="23">
        <v>1</v>
      </c>
      <c r="O460" s="23">
        <f t="shared" ref="O460" si="262">IF(B452&lt;=2,H460,I460)</f>
        <v>1.5</v>
      </c>
    </row>
    <row r="461" spans="1:15">
      <c r="E461" s="9">
        <f t="shared" si="258"/>
        <v>461</v>
      </c>
      <c r="F461" s="9" t="s">
        <v>31</v>
      </c>
      <c r="G461" s="23">
        <v>360</v>
      </c>
      <c r="L461" s="9" t="s">
        <v>136</v>
      </c>
      <c r="O461" s="23">
        <f t="shared" ref="O461" si="263">G461/G453*C452</f>
        <v>360</v>
      </c>
    </row>
    <row r="462" spans="1:15">
      <c r="E462" s="9">
        <f t="shared" si="258"/>
        <v>462</v>
      </c>
      <c r="F462" s="9" t="s">
        <v>100</v>
      </c>
      <c r="K462" s="9" t="s">
        <v>139</v>
      </c>
      <c r="O462" s="23">
        <v>2</v>
      </c>
    </row>
    <row r="463" spans="1:15">
      <c r="E463" s="9">
        <f t="shared" si="258"/>
        <v>463</v>
      </c>
      <c r="F463" s="9" t="s">
        <v>127</v>
      </c>
      <c r="O463" s="23">
        <v>1000</v>
      </c>
    </row>
    <row r="464" spans="1:15">
      <c r="E464" s="9">
        <f t="shared" si="258"/>
        <v>464</v>
      </c>
      <c r="F464" s="9" t="s">
        <v>99</v>
      </c>
      <c r="O464" s="23">
        <v>1200</v>
      </c>
    </row>
    <row r="465" spans="1:15">
      <c r="A465" s="22" t="s">
        <v>231</v>
      </c>
      <c r="B465" s="22">
        <f t="shared" ref="B465" si="264">QUOTIENT( D465-1,G466)+1</f>
        <v>3</v>
      </c>
      <c r="C465" s="22">
        <f t="shared" ref="C465" si="265">D465-(B465-1)*G466</f>
        <v>1</v>
      </c>
      <c r="D465" s="22">
        <f>COUNT($D$74:$D464)+1</f>
        <v>31</v>
      </c>
      <c r="F465" s="9" t="s">
        <v>231</v>
      </c>
      <c r="K465" s="9" t="s">
        <v>231</v>
      </c>
      <c r="L465" s="9" t="s">
        <v>231</v>
      </c>
      <c r="M465" s="9" t="s">
        <v>231</v>
      </c>
      <c r="N465" s="9" t="s">
        <v>231</v>
      </c>
    </row>
    <row r="466" spans="1:15">
      <c r="E466" s="9">
        <f t="shared" ref="E466:E477" si="266">ROW(E466)</f>
        <v>466</v>
      </c>
      <c r="F466" s="9" t="s">
        <v>95</v>
      </c>
      <c r="G466" s="23">
        <v>15</v>
      </c>
      <c r="H466" s="23">
        <v>4</v>
      </c>
      <c r="J466" s="23">
        <v>13400</v>
      </c>
      <c r="K466" s="9" t="s">
        <v>231</v>
      </c>
      <c r="L466" s="9" t="s">
        <v>231</v>
      </c>
      <c r="M466" s="9" t="s">
        <v>231</v>
      </c>
      <c r="N466" s="9" t="s">
        <v>231</v>
      </c>
      <c r="O466" s="23">
        <f t="shared" ref="O466" si="267">J466+D465</f>
        <v>13431</v>
      </c>
    </row>
    <row r="467" spans="1:15">
      <c r="E467" s="9">
        <f t="shared" si="266"/>
        <v>467</v>
      </c>
      <c r="F467" s="9" t="s">
        <v>145</v>
      </c>
      <c r="G467" s="23">
        <v>13301</v>
      </c>
      <c r="H467" s="23">
        <v>13302</v>
      </c>
      <c r="I467" s="23">
        <v>13303</v>
      </c>
      <c r="J467" s="23">
        <v>13304</v>
      </c>
      <c r="K467" s="9" t="s">
        <v>231</v>
      </c>
      <c r="L467" s="9" t="s">
        <v>231</v>
      </c>
      <c r="M467" s="9" t="s">
        <v>231</v>
      </c>
      <c r="N467" s="9" t="s">
        <v>231</v>
      </c>
      <c r="O467" s="23" cm="1">
        <f t="array" ref="O467">_xlfn.SWITCH(B465,1,G467,2,H467,3,I467,4,J467)</f>
        <v>13303</v>
      </c>
    </row>
    <row r="468" spans="1:15">
      <c r="E468" s="9">
        <f t="shared" si="266"/>
        <v>468</v>
      </c>
      <c r="F468" s="9" t="s">
        <v>128</v>
      </c>
      <c r="K468" s="9" t="s">
        <v>231</v>
      </c>
      <c r="L468" s="9" t="s">
        <v>231</v>
      </c>
      <c r="M468" s="9" t="s">
        <v>231</v>
      </c>
      <c r="N468" s="9" t="s">
        <v>231</v>
      </c>
      <c r="O468" s="23">
        <v>0</v>
      </c>
    </row>
    <row r="469" spans="1:15">
      <c r="E469" s="9">
        <f t="shared" si="266"/>
        <v>469</v>
      </c>
      <c r="F469" s="9" t="s">
        <v>200</v>
      </c>
      <c r="K469" s="9" t="s">
        <v>231</v>
      </c>
      <c r="L469" s="9" t="s">
        <v>231</v>
      </c>
      <c r="M469" s="9" t="s">
        <v>231</v>
      </c>
      <c r="N469" s="9" t="s">
        <v>231</v>
      </c>
      <c r="O469" s="23">
        <v>60</v>
      </c>
    </row>
    <row r="470" spans="1:15">
      <c r="E470" s="9">
        <f t="shared" si="266"/>
        <v>470</v>
      </c>
      <c r="F470" s="9" t="s">
        <v>29</v>
      </c>
      <c r="O470" s="23" t="s">
        <v>147</v>
      </c>
    </row>
    <row r="471" spans="1:15">
      <c r="E471" s="9">
        <f t="shared" si="266"/>
        <v>471</v>
      </c>
      <c r="F471" s="9" t="s">
        <v>118</v>
      </c>
      <c r="K471" s="9" t="s">
        <v>139</v>
      </c>
      <c r="O471" s="23">
        <v>2</v>
      </c>
    </row>
    <row r="472" spans="1:15">
      <c r="E472" s="9">
        <f t="shared" si="266"/>
        <v>472</v>
      </c>
      <c r="F472" s="9" t="s">
        <v>120</v>
      </c>
      <c r="G472" s="23" t="b">
        <f t="shared" ref="G472" si="268">MOD(B465,2)=0</f>
        <v>0</v>
      </c>
      <c r="H472" s="23" t="s">
        <v>146</v>
      </c>
      <c r="I472" s="23" t="s">
        <v>244</v>
      </c>
      <c r="O472" s="23" t="str">
        <f t="shared" ref="O472" si="269">IF(G472,H472,I472)</f>
        <v>Shot5_red</v>
      </c>
    </row>
    <row r="473" spans="1:15">
      <c r="E473" s="9">
        <f t="shared" si="266"/>
        <v>473</v>
      </c>
      <c r="F473" s="9" t="s">
        <v>30</v>
      </c>
      <c r="H473" s="23">
        <v>1.5</v>
      </c>
      <c r="I473" s="23">
        <v>1</v>
      </c>
      <c r="O473" s="23">
        <f t="shared" ref="O473" si="270">IF(B465&lt;=2,H473,I473)</f>
        <v>1</v>
      </c>
    </row>
    <row r="474" spans="1:15">
      <c r="E474" s="9">
        <f t="shared" si="266"/>
        <v>474</v>
      </c>
      <c r="F474" s="9" t="s">
        <v>31</v>
      </c>
      <c r="G474" s="23">
        <v>360</v>
      </c>
      <c r="L474" s="9" t="s">
        <v>136</v>
      </c>
      <c r="O474" s="23">
        <f t="shared" ref="O474" si="271">G474/G466*C465</f>
        <v>24</v>
      </c>
    </row>
    <row r="475" spans="1:15">
      <c r="E475" s="9">
        <f t="shared" si="266"/>
        <v>475</v>
      </c>
      <c r="F475" s="9" t="s">
        <v>100</v>
      </c>
      <c r="K475" s="9" t="s">
        <v>139</v>
      </c>
      <c r="O475" s="23">
        <v>2</v>
      </c>
    </row>
    <row r="476" spans="1:15">
      <c r="E476" s="9">
        <f t="shared" si="266"/>
        <v>476</v>
      </c>
      <c r="F476" s="9" t="s">
        <v>127</v>
      </c>
      <c r="O476" s="23">
        <v>1000</v>
      </c>
    </row>
    <row r="477" spans="1:15">
      <c r="E477" s="9">
        <f t="shared" si="266"/>
        <v>477</v>
      </c>
      <c r="F477" s="9" t="s">
        <v>99</v>
      </c>
      <c r="O477" s="23">
        <v>1200</v>
      </c>
    </row>
    <row r="478" spans="1:15">
      <c r="A478" s="22" t="s">
        <v>231</v>
      </c>
      <c r="B478" s="22">
        <f t="shared" ref="B478" si="272">QUOTIENT( D478-1,G479)+1</f>
        <v>3</v>
      </c>
      <c r="C478" s="22">
        <f t="shared" ref="C478" si="273">D478-(B478-1)*G479</f>
        <v>2</v>
      </c>
      <c r="D478" s="22">
        <f>COUNT($D$74:$D477)+1</f>
        <v>32</v>
      </c>
      <c r="F478" s="9" t="s">
        <v>231</v>
      </c>
      <c r="K478" s="9" t="s">
        <v>231</v>
      </c>
      <c r="L478" s="9" t="s">
        <v>231</v>
      </c>
      <c r="M478" s="9" t="s">
        <v>231</v>
      </c>
      <c r="N478" s="9" t="s">
        <v>231</v>
      </c>
    </row>
    <row r="479" spans="1:15">
      <c r="E479" s="9">
        <f t="shared" ref="E479:E490" si="274">ROW(E479)</f>
        <v>479</v>
      </c>
      <c r="F479" s="9" t="s">
        <v>95</v>
      </c>
      <c r="G479" s="23">
        <v>15</v>
      </c>
      <c r="H479" s="23">
        <v>4</v>
      </c>
      <c r="J479" s="23">
        <v>13400</v>
      </c>
      <c r="K479" s="9" t="s">
        <v>231</v>
      </c>
      <c r="L479" s="9" t="s">
        <v>231</v>
      </c>
      <c r="M479" s="9" t="s">
        <v>231</v>
      </c>
      <c r="N479" s="9" t="s">
        <v>231</v>
      </c>
      <c r="O479" s="23">
        <f t="shared" ref="O479" si="275">J479+D478</f>
        <v>13432</v>
      </c>
    </row>
    <row r="480" spans="1:15">
      <c r="E480" s="9">
        <f t="shared" si="274"/>
        <v>480</v>
      </c>
      <c r="F480" s="9" t="s">
        <v>145</v>
      </c>
      <c r="G480" s="23">
        <v>13301</v>
      </c>
      <c r="H480" s="23">
        <v>13302</v>
      </c>
      <c r="I480" s="23">
        <v>13303</v>
      </c>
      <c r="J480" s="23">
        <v>13304</v>
      </c>
      <c r="K480" s="9" t="s">
        <v>231</v>
      </c>
      <c r="L480" s="9" t="s">
        <v>231</v>
      </c>
      <c r="M480" s="9" t="s">
        <v>231</v>
      </c>
      <c r="N480" s="9" t="s">
        <v>231</v>
      </c>
      <c r="O480" s="23" cm="1">
        <f t="array" ref="O480">_xlfn.SWITCH(B478,1,G480,2,H480,3,I480,4,J480)</f>
        <v>13303</v>
      </c>
    </row>
    <row r="481" spans="1:15">
      <c r="E481" s="9">
        <f t="shared" si="274"/>
        <v>481</v>
      </c>
      <c r="F481" s="9" t="s">
        <v>128</v>
      </c>
      <c r="K481" s="9" t="s">
        <v>231</v>
      </c>
      <c r="L481" s="9" t="s">
        <v>231</v>
      </c>
      <c r="M481" s="9" t="s">
        <v>231</v>
      </c>
      <c r="N481" s="9" t="s">
        <v>231</v>
      </c>
      <c r="O481" s="23">
        <v>0</v>
      </c>
    </row>
    <row r="482" spans="1:15">
      <c r="E482" s="9">
        <f t="shared" si="274"/>
        <v>482</v>
      </c>
      <c r="F482" s="9" t="s">
        <v>200</v>
      </c>
      <c r="K482" s="9" t="s">
        <v>231</v>
      </c>
      <c r="L482" s="9" t="s">
        <v>231</v>
      </c>
      <c r="M482" s="9" t="s">
        <v>231</v>
      </c>
      <c r="N482" s="9" t="s">
        <v>231</v>
      </c>
      <c r="O482" s="23">
        <v>60</v>
      </c>
    </row>
    <row r="483" spans="1:15">
      <c r="E483" s="9">
        <f t="shared" si="274"/>
        <v>483</v>
      </c>
      <c r="F483" s="9" t="s">
        <v>29</v>
      </c>
      <c r="O483" s="23" t="s">
        <v>147</v>
      </c>
    </row>
    <row r="484" spans="1:15">
      <c r="E484" s="9">
        <f t="shared" si="274"/>
        <v>484</v>
      </c>
      <c r="F484" s="9" t="s">
        <v>118</v>
      </c>
      <c r="K484" s="9" t="s">
        <v>139</v>
      </c>
      <c r="O484" s="23">
        <v>2</v>
      </c>
    </row>
    <row r="485" spans="1:15">
      <c r="E485" s="9">
        <f t="shared" si="274"/>
        <v>485</v>
      </c>
      <c r="F485" s="9" t="s">
        <v>120</v>
      </c>
      <c r="G485" s="23" t="b">
        <f t="shared" ref="G485" si="276">MOD(B478,2)=0</f>
        <v>0</v>
      </c>
      <c r="H485" s="23" t="s">
        <v>146</v>
      </c>
      <c r="I485" s="23" t="s">
        <v>244</v>
      </c>
      <c r="O485" s="23" t="str">
        <f t="shared" ref="O485" si="277">IF(G485,H485,I485)</f>
        <v>Shot5_red</v>
      </c>
    </row>
    <row r="486" spans="1:15">
      <c r="E486" s="9">
        <f t="shared" si="274"/>
        <v>486</v>
      </c>
      <c r="F486" s="9" t="s">
        <v>30</v>
      </c>
      <c r="H486" s="23">
        <v>1.5</v>
      </c>
      <c r="I486" s="23">
        <v>1</v>
      </c>
      <c r="O486" s="23">
        <f t="shared" ref="O486" si="278">IF(B478&lt;=2,H486,I486)</f>
        <v>1</v>
      </c>
    </row>
    <row r="487" spans="1:15">
      <c r="E487" s="9">
        <f t="shared" si="274"/>
        <v>487</v>
      </c>
      <c r="F487" s="9" t="s">
        <v>31</v>
      </c>
      <c r="G487" s="23">
        <v>360</v>
      </c>
      <c r="L487" s="9" t="s">
        <v>136</v>
      </c>
      <c r="O487" s="23">
        <f t="shared" ref="O487" si="279">G487/G479*C478</f>
        <v>48</v>
      </c>
    </row>
    <row r="488" spans="1:15">
      <c r="E488" s="9">
        <f t="shared" si="274"/>
        <v>488</v>
      </c>
      <c r="F488" s="9" t="s">
        <v>100</v>
      </c>
      <c r="K488" s="9" t="s">
        <v>139</v>
      </c>
      <c r="O488" s="23">
        <v>2</v>
      </c>
    </row>
    <row r="489" spans="1:15">
      <c r="E489" s="9">
        <f t="shared" si="274"/>
        <v>489</v>
      </c>
      <c r="F489" s="9" t="s">
        <v>127</v>
      </c>
      <c r="O489" s="23">
        <v>1000</v>
      </c>
    </row>
    <row r="490" spans="1:15">
      <c r="E490" s="9">
        <f t="shared" si="274"/>
        <v>490</v>
      </c>
      <c r="F490" s="9" t="s">
        <v>99</v>
      </c>
      <c r="O490" s="23">
        <v>1200</v>
      </c>
    </row>
    <row r="491" spans="1:15">
      <c r="A491" s="22" t="s">
        <v>231</v>
      </c>
      <c r="B491" s="22">
        <f t="shared" ref="B491" si="280">QUOTIENT( D491-1,G492)+1</f>
        <v>3</v>
      </c>
      <c r="C491" s="22">
        <f t="shared" ref="C491" si="281">D491-(B491-1)*G492</f>
        <v>3</v>
      </c>
      <c r="D491" s="22">
        <f>COUNT($D$74:$D490)+1</f>
        <v>33</v>
      </c>
      <c r="F491" s="9" t="s">
        <v>231</v>
      </c>
      <c r="K491" s="9" t="s">
        <v>231</v>
      </c>
      <c r="L491" s="9" t="s">
        <v>231</v>
      </c>
      <c r="M491" s="9" t="s">
        <v>231</v>
      </c>
      <c r="N491" s="9" t="s">
        <v>231</v>
      </c>
    </row>
    <row r="492" spans="1:15">
      <c r="E492" s="9">
        <f t="shared" ref="E492:E503" si="282">ROW(E492)</f>
        <v>492</v>
      </c>
      <c r="F492" s="9" t="s">
        <v>95</v>
      </c>
      <c r="G492" s="23">
        <v>15</v>
      </c>
      <c r="H492" s="23">
        <v>4</v>
      </c>
      <c r="J492" s="23">
        <v>13400</v>
      </c>
      <c r="K492" s="9" t="s">
        <v>231</v>
      </c>
      <c r="L492" s="9" t="s">
        <v>231</v>
      </c>
      <c r="M492" s="9" t="s">
        <v>231</v>
      </c>
      <c r="N492" s="9" t="s">
        <v>231</v>
      </c>
      <c r="O492" s="23">
        <f t="shared" ref="O492" si="283">J492+D491</f>
        <v>13433</v>
      </c>
    </row>
    <row r="493" spans="1:15">
      <c r="E493" s="9">
        <f t="shared" si="282"/>
        <v>493</v>
      </c>
      <c r="F493" s="9" t="s">
        <v>145</v>
      </c>
      <c r="G493" s="23">
        <v>13301</v>
      </c>
      <c r="H493" s="23">
        <v>13302</v>
      </c>
      <c r="I493" s="23">
        <v>13303</v>
      </c>
      <c r="J493" s="23">
        <v>13304</v>
      </c>
      <c r="K493" s="9" t="s">
        <v>231</v>
      </c>
      <c r="L493" s="9" t="s">
        <v>231</v>
      </c>
      <c r="M493" s="9" t="s">
        <v>231</v>
      </c>
      <c r="N493" s="9" t="s">
        <v>231</v>
      </c>
      <c r="O493" s="23" cm="1">
        <f t="array" ref="O493">_xlfn.SWITCH(B491,1,G493,2,H493,3,I493,4,J493)</f>
        <v>13303</v>
      </c>
    </row>
    <row r="494" spans="1:15">
      <c r="E494" s="9">
        <f t="shared" si="282"/>
        <v>494</v>
      </c>
      <c r="F494" s="9" t="s">
        <v>128</v>
      </c>
      <c r="K494" s="9" t="s">
        <v>231</v>
      </c>
      <c r="L494" s="9" t="s">
        <v>231</v>
      </c>
      <c r="M494" s="9" t="s">
        <v>231</v>
      </c>
      <c r="N494" s="9" t="s">
        <v>231</v>
      </c>
      <c r="O494" s="23">
        <v>0</v>
      </c>
    </row>
    <row r="495" spans="1:15">
      <c r="E495" s="9">
        <f t="shared" si="282"/>
        <v>495</v>
      </c>
      <c r="F495" s="9" t="s">
        <v>200</v>
      </c>
      <c r="K495" s="9" t="s">
        <v>231</v>
      </c>
      <c r="L495" s="9" t="s">
        <v>231</v>
      </c>
      <c r="M495" s="9" t="s">
        <v>231</v>
      </c>
      <c r="N495" s="9" t="s">
        <v>231</v>
      </c>
      <c r="O495" s="23">
        <v>60</v>
      </c>
    </row>
    <row r="496" spans="1:15">
      <c r="E496" s="9">
        <f t="shared" si="282"/>
        <v>496</v>
      </c>
      <c r="F496" s="9" t="s">
        <v>29</v>
      </c>
      <c r="O496" s="23" t="s">
        <v>147</v>
      </c>
    </row>
    <row r="497" spans="1:15">
      <c r="E497" s="9">
        <f t="shared" si="282"/>
        <v>497</v>
      </c>
      <c r="F497" s="9" t="s">
        <v>118</v>
      </c>
      <c r="K497" s="9" t="s">
        <v>139</v>
      </c>
      <c r="O497" s="23">
        <v>2</v>
      </c>
    </row>
    <row r="498" spans="1:15">
      <c r="E498" s="9">
        <f t="shared" si="282"/>
        <v>498</v>
      </c>
      <c r="F498" s="9" t="s">
        <v>120</v>
      </c>
      <c r="G498" s="23" t="b">
        <f t="shared" ref="G498" si="284">MOD(B491,2)=0</f>
        <v>0</v>
      </c>
      <c r="H498" s="23" t="s">
        <v>146</v>
      </c>
      <c r="I498" s="23" t="s">
        <v>244</v>
      </c>
      <c r="O498" s="23" t="str">
        <f t="shared" ref="O498" si="285">IF(G498,H498,I498)</f>
        <v>Shot5_red</v>
      </c>
    </row>
    <row r="499" spans="1:15">
      <c r="E499" s="9">
        <f t="shared" si="282"/>
        <v>499</v>
      </c>
      <c r="F499" s="9" t="s">
        <v>30</v>
      </c>
      <c r="H499" s="23">
        <v>1.5</v>
      </c>
      <c r="I499" s="23">
        <v>1</v>
      </c>
      <c r="O499" s="23">
        <f t="shared" ref="O499" si="286">IF(B491&lt;=2,H499,I499)</f>
        <v>1</v>
      </c>
    </row>
    <row r="500" spans="1:15">
      <c r="E500" s="9">
        <f t="shared" si="282"/>
        <v>500</v>
      </c>
      <c r="F500" s="9" t="s">
        <v>31</v>
      </c>
      <c r="G500" s="23">
        <v>360</v>
      </c>
      <c r="L500" s="9" t="s">
        <v>136</v>
      </c>
      <c r="O500" s="23">
        <f t="shared" ref="O500" si="287">G500/G492*C491</f>
        <v>72</v>
      </c>
    </row>
    <row r="501" spans="1:15">
      <c r="E501" s="9">
        <f t="shared" si="282"/>
        <v>501</v>
      </c>
      <c r="F501" s="9" t="s">
        <v>100</v>
      </c>
      <c r="K501" s="9" t="s">
        <v>139</v>
      </c>
      <c r="O501" s="23">
        <v>2</v>
      </c>
    </row>
    <row r="502" spans="1:15">
      <c r="E502" s="9">
        <f t="shared" si="282"/>
        <v>502</v>
      </c>
      <c r="F502" s="9" t="s">
        <v>127</v>
      </c>
      <c r="O502" s="23">
        <v>1000</v>
      </c>
    </row>
    <row r="503" spans="1:15">
      <c r="E503" s="9">
        <f t="shared" si="282"/>
        <v>503</v>
      </c>
      <c r="F503" s="9" t="s">
        <v>99</v>
      </c>
      <c r="O503" s="23">
        <v>1200</v>
      </c>
    </row>
    <row r="504" spans="1:15">
      <c r="A504" s="22" t="s">
        <v>231</v>
      </c>
      <c r="B504" s="22">
        <f t="shared" ref="B504" si="288">QUOTIENT( D504-1,G505)+1</f>
        <v>3</v>
      </c>
      <c r="C504" s="22">
        <f t="shared" ref="C504" si="289">D504-(B504-1)*G505</f>
        <v>4</v>
      </c>
      <c r="D504" s="22">
        <f>COUNT($D$74:$D503)+1</f>
        <v>34</v>
      </c>
      <c r="F504" s="9" t="s">
        <v>231</v>
      </c>
      <c r="K504" s="9" t="s">
        <v>231</v>
      </c>
      <c r="L504" s="9" t="s">
        <v>231</v>
      </c>
      <c r="M504" s="9" t="s">
        <v>231</v>
      </c>
      <c r="N504" s="9" t="s">
        <v>231</v>
      </c>
    </row>
    <row r="505" spans="1:15">
      <c r="E505" s="9">
        <f t="shared" ref="E505:E516" si="290">ROW(E505)</f>
        <v>505</v>
      </c>
      <c r="F505" s="9" t="s">
        <v>95</v>
      </c>
      <c r="G505" s="23">
        <v>15</v>
      </c>
      <c r="H505" s="23">
        <v>4</v>
      </c>
      <c r="J505" s="23">
        <v>13400</v>
      </c>
      <c r="K505" s="9" t="s">
        <v>231</v>
      </c>
      <c r="L505" s="9" t="s">
        <v>231</v>
      </c>
      <c r="M505" s="9" t="s">
        <v>231</v>
      </c>
      <c r="N505" s="9" t="s">
        <v>231</v>
      </c>
      <c r="O505" s="23">
        <f t="shared" ref="O505" si="291">J505+D504</f>
        <v>13434</v>
      </c>
    </row>
    <row r="506" spans="1:15">
      <c r="E506" s="9">
        <f t="shared" si="290"/>
        <v>506</v>
      </c>
      <c r="F506" s="9" t="s">
        <v>145</v>
      </c>
      <c r="G506" s="23">
        <v>13301</v>
      </c>
      <c r="H506" s="23">
        <v>13302</v>
      </c>
      <c r="I506" s="23">
        <v>13303</v>
      </c>
      <c r="J506" s="23">
        <v>13304</v>
      </c>
      <c r="K506" s="9" t="s">
        <v>231</v>
      </c>
      <c r="L506" s="9" t="s">
        <v>231</v>
      </c>
      <c r="M506" s="9" t="s">
        <v>231</v>
      </c>
      <c r="N506" s="9" t="s">
        <v>231</v>
      </c>
      <c r="O506" s="23" cm="1">
        <f t="array" ref="O506">_xlfn.SWITCH(B504,1,G506,2,H506,3,I506,4,J506)</f>
        <v>13303</v>
      </c>
    </row>
    <row r="507" spans="1:15">
      <c r="E507" s="9">
        <f t="shared" si="290"/>
        <v>507</v>
      </c>
      <c r="F507" s="9" t="s">
        <v>128</v>
      </c>
      <c r="K507" s="9" t="s">
        <v>231</v>
      </c>
      <c r="L507" s="9" t="s">
        <v>231</v>
      </c>
      <c r="M507" s="9" t="s">
        <v>231</v>
      </c>
      <c r="N507" s="9" t="s">
        <v>231</v>
      </c>
      <c r="O507" s="23">
        <v>0</v>
      </c>
    </row>
    <row r="508" spans="1:15">
      <c r="E508" s="9">
        <f t="shared" si="290"/>
        <v>508</v>
      </c>
      <c r="F508" s="9" t="s">
        <v>200</v>
      </c>
      <c r="K508" s="9" t="s">
        <v>231</v>
      </c>
      <c r="L508" s="9" t="s">
        <v>231</v>
      </c>
      <c r="M508" s="9" t="s">
        <v>231</v>
      </c>
      <c r="N508" s="9" t="s">
        <v>231</v>
      </c>
      <c r="O508" s="23">
        <v>60</v>
      </c>
    </row>
    <row r="509" spans="1:15">
      <c r="E509" s="9">
        <f t="shared" si="290"/>
        <v>509</v>
      </c>
      <c r="F509" s="9" t="s">
        <v>29</v>
      </c>
      <c r="O509" s="23" t="s">
        <v>147</v>
      </c>
    </row>
    <row r="510" spans="1:15">
      <c r="E510" s="9">
        <f t="shared" si="290"/>
        <v>510</v>
      </c>
      <c r="F510" s="9" t="s">
        <v>118</v>
      </c>
      <c r="K510" s="9" t="s">
        <v>139</v>
      </c>
      <c r="O510" s="23">
        <v>2</v>
      </c>
    </row>
    <row r="511" spans="1:15">
      <c r="E511" s="9">
        <f t="shared" si="290"/>
        <v>511</v>
      </c>
      <c r="F511" s="9" t="s">
        <v>120</v>
      </c>
      <c r="G511" s="23" t="b">
        <f t="shared" ref="G511" si="292">MOD(B504,2)=0</f>
        <v>0</v>
      </c>
      <c r="H511" s="23" t="s">
        <v>146</v>
      </c>
      <c r="I511" s="23" t="s">
        <v>244</v>
      </c>
      <c r="O511" s="23" t="str">
        <f t="shared" ref="O511" si="293">IF(G511,H511,I511)</f>
        <v>Shot5_red</v>
      </c>
    </row>
    <row r="512" spans="1:15">
      <c r="E512" s="9">
        <f t="shared" si="290"/>
        <v>512</v>
      </c>
      <c r="F512" s="9" t="s">
        <v>30</v>
      </c>
      <c r="H512" s="23">
        <v>1.5</v>
      </c>
      <c r="I512" s="23">
        <v>1</v>
      </c>
      <c r="O512" s="23">
        <f t="shared" ref="O512" si="294">IF(B504&lt;=2,H512,I512)</f>
        <v>1</v>
      </c>
    </row>
    <row r="513" spans="1:15">
      <c r="E513" s="9">
        <f t="shared" si="290"/>
        <v>513</v>
      </c>
      <c r="F513" s="9" t="s">
        <v>31</v>
      </c>
      <c r="G513" s="23">
        <v>360</v>
      </c>
      <c r="L513" s="9" t="s">
        <v>136</v>
      </c>
      <c r="O513" s="23">
        <f t="shared" ref="O513" si="295">G513/G505*C504</f>
        <v>96</v>
      </c>
    </row>
    <row r="514" spans="1:15">
      <c r="E514" s="9">
        <f t="shared" si="290"/>
        <v>514</v>
      </c>
      <c r="F514" s="9" t="s">
        <v>100</v>
      </c>
      <c r="K514" s="9" t="s">
        <v>139</v>
      </c>
      <c r="O514" s="23">
        <v>2</v>
      </c>
    </row>
    <row r="515" spans="1:15">
      <c r="E515" s="9">
        <f t="shared" si="290"/>
        <v>515</v>
      </c>
      <c r="F515" s="9" t="s">
        <v>127</v>
      </c>
      <c r="O515" s="23">
        <v>1000</v>
      </c>
    </row>
    <row r="516" spans="1:15">
      <c r="E516" s="9">
        <f t="shared" si="290"/>
        <v>516</v>
      </c>
      <c r="F516" s="9" t="s">
        <v>99</v>
      </c>
      <c r="O516" s="23">
        <v>1200</v>
      </c>
    </row>
    <row r="517" spans="1:15">
      <c r="A517" s="22" t="s">
        <v>231</v>
      </c>
      <c r="B517" s="22">
        <f t="shared" ref="B517" si="296">QUOTIENT( D517-1,G518)+1</f>
        <v>3</v>
      </c>
      <c r="C517" s="22">
        <f t="shared" ref="C517" si="297">D517-(B517-1)*G518</f>
        <v>5</v>
      </c>
      <c r="D517" s="22">
        <f>COUNT($D$74:$D516)+1</f>
        <v>35</v>
      </c>
      <c r="F517" s="9" t="s">
        <v>231</v>
      </c>
      <c r="K517" s="9" t="s">
        <v>231</v>
      </c>
      <c r="L517" s="9" t="s">
        <v>231</v>
      </c>
      <c r="M517" s="9" t="s">
        <v>231</v>
      </c>
      <c r="N517" s="9" t="s">
        <v>231</v>
      </c>
    </row>
    <row r="518" spans="1:15">
      <c r="E518" s="9">
        <f t="shared" ref="E518:E529" si="298">ROW(E518)</f>
        <v>518</v>
      </c>
      <c r="F518" s="9" t="s">
        <v>95</v>
      </c>
      <c r="G518" s="23">
        <v>15</v>
      </c>
      <c r="H518" s="23">
        <v>4</v>
      </c>
      <c r="J518" s="23">
        <v>13400</v>
      </c>
      <c r="K518" s="9" t="s">
        <v>231</v>
      </c>
      <c r="L518" s="9" t="s">
        <v>231</v>
      </c>
      <c r="M518" s="9" t="s">
        <v>231</v>
      </c>
      <c r="N518" s="9" t="s">
        <v>231</v>
      </c>
      <c r="O518" s="23">
        <f t="shared" ref="O518" si="299">J518+D517</f>
        <v>13435</v>
      </c>
    </row>
    <row r="519" spans="1:15">
      <c r="E519" s="9">
        <f t="shared" si="298"/>
        <v>519</v>
      </c>
      <c r="F519" s="9" t="s">
        <v>145</v>
      </c>
      <c r="G519" s="23">
        <v>13301</v>
      </c>
      <c r="H519" s="23">
        <v>13302</v>
      </c>
      <c r="I519" s="23">
        <v>13303</v>
      </c>
      <c r="J519" s="23">
        <v>13304</v>
      </c>
      <c r="K519" s="9" t="s">
        <v>231</v>
      </c>
      <c r="L519" s="9" t="s">
        <v>231</v>
      </c>
      <c r="M519" s="9" t="s">
        <v>231</v>
      </c>
      <c r="N519" s="9" t="s">
        <v>231</v>
      </c>
      <c r="O519" s="23" cm="1">
        <f t="array" ref="O519">_xlfn.SWITCH(B517,1,G519,2,H519,3,I519,4,J519)</f>
        <v>13303</v>
      </c>
    </row>
    <row r="520" spans="1:15">
      <c r="E520" s="9">
        <f t="shared" si="298"/>
        <v>520</v>
      </c>
      <c r="F520" s="9" t="s">
        <v>128</v>
      </c>
      <c r="K520" s="9" t="s">
        <v>231</v>
      </c>
      <c r="L520" s="9" t="s">
        <v>231</v>
      </c>
      <c r="M520" s="9" t="s">
        <v>231</v>
      </c>
      <c r="N520" s="9" t="s">
        <v>231</v>
      </c>
      <c r="O520" s="23">
        <v>0</v>
      </c>
    </row>
    <row r="521" spans="1:15">
      <c r="E521" s="9">
        <f t="shared" si="298"/>
        <v>521</v>
      </c>
      <c r="F521" s="9" t="s">
        <v>200</v>
      </c>
      <c r="K521" s="9" t="s">
        <v>231</v>
      </c>
      <c r="L521" s="9" t="s">
        <v>231</v>
      </c>
      <c r="M521" s="9" t="s">
        <v>231</v>
      </c>
      <c r="N521" s="9" t="s">
        <v>231</v>
      </c>
      <c r="O521" s="23">
        <v>60</v>
      </c>
    </row>
    <row r="522" spans="1:15">
      <c r="E522" s="9">
        <f t="shared" si="298"/>
        <v>522</v>
      </c>
      <c r="F522" s="9" t="s">
        <v>29</v>
      </c>
      <c r="O522" s="23" t="s">
        <v>147</v>
      </c>
    </row>
    <row r="523" spans="1:15">
      <c r="E523" s="9">
        <f t="shared" si="298"/>
        <v>523</v>
      </c>
      <c r="F523" s="9" t="s">
        <v>118</v>
      </c>
      <c r="K523" s="9" t="s">
        <v>139</v>
      </c>
      <c r="O523" s="23">
        <v>2</v>
      </c>
    </row>
    <row r="524" spans="1:15">
      <c r="E524" s="9">
        <f t="shared" si="298"/>
        <v>524</v>
      </c>
      <c r="F524" s="9" t="s">
        <v>120</v>
      </c>
      <c r="G524" s="23" t="b">
        <f t="shared" ref="G524" si="300">MOD(B517,2)=0</f>
        <v>0</v>
      </c>
      <c r="H524" s="23" t="s">
        <v>146</v>
      </c>
      <c r="I524" s="23" t="s">
        <v>244</v>
      </c>
      <c r="O524" s="23" t="str">
        <f t="shared" ref="O524" si="301">IF(G524,H524,I524)</f>
        <v>Shot5_red</v>
      </c>
    </row>
    <row r="525" spans="1:15">
      <c r="E525" s="9">
        <f t="shared" si="298"/>
        <v>525</v>
      </c>
      <c r="F525" s="9" t="s">
        <v>30</v>
      </c>
      <c r="H525" s="23">
        <v>1.5</v>
      </c>
      <c r="I525" s="23">
        <v>1</v>
      </c>
      <c r="O525" s="23">
        <f t="shared" ref="O525" si="302">IF(B517&lt;=2,H525,I525)</f>
        <v>1</v>
      </c>
    </row>
    <row r="526" spans="1:15">
      <c r="E526" s="9">
        <f t="shared" si="298"/>
        <v>526</v>
      </c>
      <c r="F526" s="9" t="s">
        <v>31</v>
      </c>
      <c r="G526" s="23">
        <v>360</v>
      </c>
      <c r="L526" s="9" t="s">
        <v>136</v>
      </c>
      <c r="O526" s="23">
        <f t="shared" ref="O526" si="303">G526/G518*C517</f>
        <v>120</v>
      </c>
    </row>
    <row r="527" spans="1:15">
      <c r="E527" s="9">
        <f t="shared" si="298"/>
        <v>527</v>
      </c>
      <c r="F527" s="9" t="s">
        <v>100</v>
      </c>
      <c r="K527" s="9" t="s">
        <v>139</v>
      </c>
      <c r="O527" s="23">
        <v>2</v>
      </c>
    </row>
    <row r="528" spans="1:15">
      <c r="E528" s="9">
        <f t="shared" si="298"/>
        <v>528</v>
      </c>
      <c r="F528" s="9" t="s">
        <v>127</v>
      </c>
      <c r="O528" s="23">
        <v>1000</v>
      </c>
    </row>
    <row r="529" spans="1:15">
      <c r="E529" s="9">
        <f t="shared" si="298"/>
        <v>529</v>
      </c>
      <c r="F529" s="9" t="s">
        <v>99</v>
      </c>
      <c r="O529" s="23">
        <v>1200</v>
      </c>
    </row>
    <row r="530" spans="1:15">
      <c r="A530" s="22" t="s">
        <v>231</v>
      </c>
      <c r="B530" s="22">
        <f t="shared" ref="B530" si="304">QUOTIENT( D530-1,G531)+1</f>
        <v>3</v>
      </c>
      <c r="C530" s="22">
        <f t="shared" ref="C530" si="305">D530-(B530-1)*G531</f>
        <v>6</v>
      </c>
      <c r="D530" s="22">
        <f>COUNT($D$74:$D529)+1</f>
        <v>36</v>
      </c>
      <c r="F530" s="9" t="s">
        <v>231</v>
      </c>
      <c r="K530" s="9" t="s">
        <v>231</v>
      </c>
      <c r="L530" s="9" t="s">
        <v>231</v>
      </c>
      <c r="M530" s="9" t="s">
        <v>231</v>
      </c>
      <c r="N530" s="9" t="s">
        <v>231</v>
      </c>
    </row>
    <row r="531" spans="1:15">
      <c r="E531" s="9">
        <f t="shared" ref="E531:E542" si="306">ROW(E531)</f>
        <v>531</v>
      </c>
      <c r="F531" s="9" t="s">
        <v>95</v>
      </c>
      <c r="G531" s="23">
        <v>15</v>
      </c>
      <c r="H531" s="23">
        <v>4</v>
      </c>
      <c r="J531" s="23">
        <v>13400</v>
      </c>
      <c r="K531" s="9" t="s">
        <v>231</v>
      </c>
      <c r="L531" s="9" t="s">
        <v>231</v>
      </c>
      <c r="M531" s="9" t="s">
        <v>231</v>
      </c>
      <c r="N531" s="9" t="s">
        <v>231</v>
      </c>
      <c r="O531" s="23">
        <f t="shared" ref="O531" si="307">J531+D530</f>
        <v>13436</v>
      </c>
    </row>
    <row r="532" spans="1:15">
      <c r="E532" s="9">
        <f t="shared" si="306"/>
        <v>532</v>
      </c>
      <c r="F532" s="9" t="s">
        <v>145</v>
      </c>
      <c r="G532" s="23">
        <v>13301</v>
      </c>
      <c r="H532" s="23">
        <v>13302</v>
      </c>
      <c r="I532" s="23">
        <v>13303</v>
      </c>
      <c r="J532" s="23">
        <v>13304</v>
      </c>
      <c r="K532" s="9" t="s">
        <v>231</v>
      </c>
      <c r="L532" s="9" t="s">
        <v>231</v>
      </c>
      <c r="M532" s="9" t="s">
        <v>231</v>
      </c>
      <c r="N532" s="9" t="s">
        <v>231</v>
      </c>
      <c r="O532" s="23" cm="1">
        <f t="array" ref="O532">_xlfn.SWITCH(B530,1,G532,2,H532,3,I532,4,J532)</f>
        <v>13303</v>
      </c>
    </row>
    <row r="533" spans="1:15">
      <c r="E533" s="9">
        <f t="shared" si="306"/>
        <v>533</v>
      </c>
      <c r="F533" s="9" t="s">
        <v>128</v>
      </c>
      <c r="K533" s="9" t="s">
        <v>231</v>
      </c>
      <c r="L533" s="9" t="s">
        <v>231</v>
      </c>
      <c r="M533" s="9" t="s">
        <v>231</v>
      </c>
      <c r="N533" s="9" t="s">
        <v>231</v>
      </c>
      <c r="O533" s="23">
        <v>0</v>
      </c>
    </row>
    <row r="534" spans="1:15">
      <c r="E534" s="9">
        <f t="shared" si="306"/>
        <v>534</v>
      </c>
      <c r="F534" s="9" t="s">
        <v>200</v>
      </c>
      <c r="K534" s="9" t="s">
        <v>231</v>
      </c>
      <c r="L534" s="9" t="s">
        <v>231</v>
      </c>
      <c r="M534" s="9" t="s">
        <v>231</v>
      </c>
      <c r="N534" s="9" t="s">
        <v>231</v>
      </c>
      <c r="O534" s="23">
        <v>60</v>
      </c>
    </row>
    <row r="535" spans="1:15">
      <c r="E535" s="9">
        <f t="shared" si="306"/>
        <v>535</v>
      </c>
      <c r="F535" s="9" t="s">
        <v>29</v>
      </c>
      <c r="O535" s="23" t="s">
        <v>147</v>
      </c>
    </row>
    <row r="536" spans="1:15">
      <c r="E536" s="9">
        <f t="shared" si="306"/>
        <v>536</v>
      </c>
      <c r="F536" s="9" t="s">
        <v>118</v>
      </c>
      <c r="K536" s="9" t="s">
        <v>139</v>
      </c>
      <c r="O536" s="23">
        <v>2</v>
      </c>
    </row>
    <row r="537" spans="1:15">
      <c r="E537" s="9">
        <f t="shared" si="306"/>
        <v>537</v>
      </c>
      <c r="F537" s="9" t="s">
        <v>120</v>
      </c>
      <c r="G537" s="23" t="b">
        <f t="shared" ref="G537" si="308">MOD(B530,2)=0</f>
        <v>0</v>
      </c>
      <c r="H537" s="23" t="s">
        <v>146</v>
      </c>
      <c r="I537" s="23" t="s">
        <v>244</v>
      </c>
      <c r="O537" s="23" t="str">
        <f t="shared" ref="O537" si="309">IF(G537,H537,I537)</f>
        <v>Shot5_red</v>
      </c>
    </row>
    <row r="538" spans="1:15">
      <c r="E538" s="9">
        <f t="shared" si="306"/>
        <v>538</v>
      </c>
      <c r="F538" s="9" t="s">
        <v>30</v>
      </c>
      <c r="H538" s="23">
        <v>1.5</v>
      </c>
      <c r="I538" s="23">
        <v>1</v>
      </c>
      <c r="O538" s="23">
        <f t="shared" ref="O538" si="310">IF(B530&lt;=2,H538,I538)</f>
        <v>1</v>
      </c>
    </row>
    <row r="539" spans="1:15">
      <c r="E539" s="9">
        <f t="shared" si="306"/>
        <v>539</v>
      </c>
      <c r="F539" s="9" t="s">
        <v>31</v>
      </c>
      <c r="G539" s="23">
        <v>360</v>
      </c>
      <c r="L539" s="9" t="s">
        <v>136</v>
      </c>
      <c r="O539" s="23">
        <f t="shared" ref="O539" si="311">G539/G531*C530</f>
        <v>144</v>
      </c>
    </row>
    <row r="540" spans="1:15">
      <c r="E540" s="9">
        <f t="shared" si="306"/>
        <v>540</v>
      </c>
      <c r="F540" s="9" t="s">
        <v>100</v>
      </c>
      <c r="K540" s="9" t="s">
        <v>139</v>
      </c>
      <c r="O540" s="23">
        <v>2</v>
      </c>
    </row>
    <row r="541" spans="1:15">
      <c r="E541" s="9">
        <f t="shared" si="306"/>
        <v>541</v>
      </c>
      <c r="F541" s="9" t="s">
        <v>127</v>
      </c>
      <c r="O541" s="23">
        <v>1000</v>
      </c>
    </row>
    <row r="542" spans="1:15">
      <c r="E542" s="9">
        <f t="shared" si="306"/>
        <v>542</v>
      </c>
      <c r="F542" s="9" t="s">
        <v>99</v>
      </c>
      <c r="O542" s="23">
        <v>1200</v>
      </c>
    </row>
    <row r="543" spans="1:15">
      <c r="A543" s="22" t="s">
        <v>231</v>
      </c>
      <c r="B543" s="22">
        <f t="shared" ref="B543" si="312">QUOTIENT( D543-1,G544)+1</f>
        <v>3</v>
      </c>
      <c r="C543" s="22">
        <f t="shared" ref="C543" si="313">D543-(B543-1)*G544</f>
        <v>7</v>
      </c>
      <c r="D543" s="22">
        <f>COUNT($D$74:$D542)+1</f>
        <v>37</v>
      </c>
      <c r="F543" s="9" t="s">
        <v>231</v>
      </c>
      <c r="K543" s="9" t="s">
        <v>231</v>
      </c>
      <c r="L543" s="9" t="s">
        <v>231</v>
      </c>
      <c r="M543" s="9" t="s">
        <v>231</v>
      </c>
      <c r="N543" s="9" t="s">
        <v>231</v>
      </c>
    </row>
    <row r="544" spans="1:15">
      <c r="E544" s="9">
        <f t="shared" ref="E544:E555" si="314">ROW(E544)</f>
        <v>544</v>
      </c>
      <c r="F544" s="9" t="s">
        <v>95</v>
      </c>
      <c r="G544" s="23">
        <v>15</v>
      </c>
      <c r="H544" s="23">
        <v>4</v>
      </c>
      <c r="J544" s="23">
        <v>13400</v>
      </c>
      <c r="K544" s="9" t="s">
        <v>231</v>
      </c>
      <c r="L544" s="9" t="s">
        <v>231</v>
      </c>
      <c r="M544" s="9" t="s">
        <v>231</v>
      </c>
      <c r="N544" s="9" t="s">
        <v>231</v>
      </c>
      <c r="O544" s="23">
        <f t="shared" ref="O544" si="315">J544+D543</f>
        <v>13437</v>
      </c>
    </row>
    <row r="545" spans="1:15">
      <c r="E545" s="9">
        <f t="shared" si="314"/>
        <v>545</v>
      </c>
      <c r="F545" s="9" t="s">
        <v>145</v>
      </c>
      <c r="G545" s="23">
        <v>13301</v>
      </c>
      <c r="H545" s="23">
        <v>13302</v>
      </c>
      <c r="I545" s="23">
        <v>13303</v>
      </c>
      <c r="J545" s="23">
        <v>13304</v>
      </c>
      <c r="K545" s="9" t="s">
        <v>231</v>
      </c>
      <c r="L545" s="9" t="s">
        <v>231</v>
      </c>
      <c r="M545" s="9" t="s">
        <v>231</v>
      </c>
      <c r="N545" s="9" t="s">
        <v>231</v>
      </c>
      <c r="O545" s="23" cm="1">
        <f t="array" ref="O545">_xlfn.SWITCH(B543,1,G545,2,H545,3,I545,4,J545)</f>
        <v>13303</v>
      </c>
    </row>
    <row r="546" spans="1:15">
      <c r="E546" s="9">
        <f t="shared" si="314"/>
        <v>546</v>
      </c>
      <c r="F546" s="9" t="s">
        <v>128</v>
      </c>
      <c r="K546" s="9" t="s">
        <v>231</v>
      </c>
      <c r="L546" s="9" t="s">
        <v>231</v>
      </c>
      <c r="M546" s="9" t="s">
        <v>231</v>
      </c>
      <c r="N546" s="9" t="s">
        <v>231</v>
      </c>
      <c r="O546" s="23">
        <v>0</v>
      </c>
    </row>
    <row r="547" spans="1:15">
      <c r="E547" s="9">
        <f t="shared" si="314"/>
        <v>547</v>
      </c>
      <c r="F547" s="9" t="s">
        <v>200</v>
      </c>
      <c r="K547" s="9" t="s">
        <v>231</v>
      </c>
      <c r="L547" s="9" t="s">
        <v>231</v>
      </c>
      <c r="M547" s="9" t="s">
        <v>231</v>
      </c>
      <c r="N547" s="9" t="s">
        <v>231</v>
      </c>
      <c r="O547" s="23">
        <v>60</v>
      </c>
    </row>
    <row r="548" spans="1:15">
      <c r="E548" s="9">
        <f t="shared" si="314"/>
        <v>548</v>
      </c>
      <c r="F548" s="9" t="s">
        <v>29</v>
      </c>
      <c r="O548" s="23" t="s">
        <v>147</v>
      </c>
    </row>
    <row r="549" spans="1:15">
      <c r="E549" s="9">
        <f t="shared" si="314"/>
        <v>549</v>
      </c>
      <c r="F549" s="9" t="s">
        <v>118</v>
      </c>
      <c r="K549" s="9" t="s">
        <v>139</v>
      </c>
      <c r="O549" s="23">
        <v>2</v>
      </c>
    </row>
    <row r="550" spans="1:15">
      <c r="E550" s="9">
        <f t="shared" si="314"/>
        <v>550</v>
      </c>
      <c r="F550" s="9" t="s">
        <v>120</v>
      </c>
      <c r="G550" s="23" t="b">
        <f t="shared" ref="G550" si="316">MOD(B543,2)=0</f>
        <v>0</v>
      </c>
      <c r="H550" s="23" t="s">
        <v>146</v>
      </c>
      <c r="I550" s="23" t="s">
        <v>244</v>
      </c>
      <c r="O550" s="23" t="str">
        <f t="shared" ref="O550" si="317">IF(G550,H550,I550)</f>
        <v>Shot5_red</v>
      </c>
    </row>
    <row r="551" spans="1:15">
      <c r="E551" s="9">
        <f t="shared" si="314"/>
        <v>551</v>
      </c>
      <c r="F551" s="9" t="s">
        <v>30</v>
      </c>
      <c r="H551" s="23">
        <v>1.5</v>
      </c>
      <c r="I551" s="23">
        <v>1</v>
      </c>
      <c r="O551" s="23">
        <f t="shared" ref="O551" si="318">IF(B543&lt;=2,H551,I551)</f>
        <v>1</v>
      </c>
    </row>
    <row r="552" spans="1:15">
      <c r="E552" s="9">
        <f t="shared" si="314"/>
        <v>552</v>
      </c>
      <c r="F552" s="9" t="s">
        <v>31</v>
      </c>
      <c r="G552" s="23">
        <v>360</v>
      </c>
      <c r="L552" s="9" t="s">
        <v>136</v>
      </c>
      <c r="O552" s="23">
        <f t="shared" ref="O552" si="319">G552/G544*C543</f>
        <v>168</v>
      </c>
    </row>
    <row r="553" spans="1:15">
      <c r="E553" s="9">
        <f t="shared" si="314"/>
        <v>553</v>
      </c>
      <c r="F553" s="9" t="s">
        <v>100</v>
      </c>
      <c r="K553" s="9" t="s">
        <v>139</v>
      </c>
      <c r="O553" s="23">
        <v>2</v>
      </c>
    </row>
    <row r="554" spans="1:15">
      <c r="E554" s="9">
        <f t="shared" si="314"/>
        <v>554</v>
      </c>
      <c r="F554" s="9" t="s">
        <v>127</v>
      </c>
      <c r="O554" s="23">
        <v>1000</v>
      </c>
    </row>
    <row r="555" spans="1:15">
      <c r="E555" s="9">
        <f t="shared" si="314"/>
        <v>555</v>
      </c>
      <c r="F555" s="9" t="s">
        <v>99</v>
      </c>
      <c r="O555" s="23">
        <v>1200</v>
      </c>
    </row>
    <row r="556" spans="1:15">
      <c r="A556" s="22" t="s">
        <v>231</v>
      </c>
      <c r="B556" s="22">
        <f t="shared" ref="B556" si="320">QUOTIENT( D556-1,G557)+1</f>
        <v>3</v>
      </c>
      <c r="C556" s="22">
        <f t="shared" ref="C556" si="321">D556-(B556-1)*G557</f>
        <v>8</v>
      </c>
      <c r="D556" s="22">
        <f>COUNT($D$74:$D555)+1</f>
        <v>38</v>
      </c>
      <c r="F556" s="9" t="s">
        <v>231</v>
      </c>
      <c r="K556" s="9" t="s">
        <v>231</v>
      </c>
      <c r="L556" s="9" t="s">
        <v>231</v>
      </c>
      <c r="M556" s="9" t="s">
        <v>231</v>
      </c>
      <c r="N556" s="9" t="s">
        <v>231</v>
      </c>
    </row>
    <row r="557" spans="1:15">
      <c r="E557" s="9">
        <f t="shared" ref="E557:E568" si="322">ROW(E557)</f>
        <v>557</v>
      </c>
      <c r="F557" s="9" t="s">
        <v>95</v>
      </c>
      <c r="G557" s="23">
        <v>15</v>
      </c>
      <c r="H557" s="23">
        <v>4</v>
      </c>
      <c r="J557" s="23">
        <v>13400</v>
      </c>
      <c r="K557" s="9" t="s">
        <v>231</v>
      </c>
      <c r="L557" s="9" t="s">
        <v>231</v>
      </c>
      <c r="M557" s="9" t="s">
        <v>231</v>
      </c>
      <c r="N557" s="9" t="s">
        <v>231</v>
      </c>
      <c r="O557" s="23">
        <f t="shared" ref="O557" si="323">J557+D556</f>
        <v>13438</v>
      </c>
    </row>
    <row r="558" spans="1:15">
      <c r="E558" s="9">
        <f t="shared" si="322"/>
        <v>558</v>
      </c>
      <c r="F558" s="9" t="s">
        <v>145</v>
      </c>
      <c r="G558" s="23">
        <v>13301</v>
      </c>
      <c r="H558" s="23">
        <v>13302</v>
      </c>
      <c r="I558" s="23">
        <v>13303</v>
      </c>
      <c r="J558" s="23">
        <v>13304</v>
      </c>
      <c r="K558" s="9" t="s">
        <v>231</v>
      </c>
      <c r="L558" s="9" t="s">
        <v>231</v>
      </c>
      <c r="M558" s="9" t="s">
        <v>231</v>
      </c>
      <c r="N558" s="9" t="s">
        <v>231</v>
      </c>
      <c r="O558" s="23" cm="1">
        <f t="array" ref="O558">_xlfn.SWITCH(B556,1,G558,2,H558,3,I558,4,J558)</f>
        <v>13303</v>
      </c>
    </row>
    <row r="559" spans="1:15">
      <c r="E559" s="9">
        <f t="shared" si="322"/>
        <v>559</v>
      </c>
      <c r="F559" s="9" t="s">
        <v>128</v>
      </c>
      <c r="K559" s="9" t="s">
        <v>231</v>
      </c>
      <c r="L559" s="9" t="s">
        <v>231</v>
      </c>
      <c r="M559" s="9" t="s">
        <v>231</v>
      </c>
      <c r="N559" s="9" t="s">
        <v>231</v>
      </c>
      <c r="O559" s="23">
        <v>0</v>
      </c>
    </row>
    <row r="560" spans="1:15">
      <c r="E560" s="9">
        <f t="shared" si="322"/>
        <v>560</v>
      </c>
      <c r="F560" s="9" t="s">
        <v>200</v>
      </c>
      <c r="K560" s="9" t="s">
        <v>231</v>
      </c>
      <c r="L560" s="9" t="s">
        <v>231</v>
      </c>
      <c r="M560" s="9" t="s">
        <v>231</v>
      </c>
      <c r="N560" s="9" t="s">
        <v>231</v>
      </c>
      <c r="O560" s="23">
        <v>60</v>
      </c>
    </row>
    <row r="561" spans="1:15">
      <c r="E561" s="9">
        <f t="shared" si="322"/>
        <v>561</v>
      </c>
      <c r="F561" s="9" t="s">
        <v>29</v>
      </c>
      <c r="O561" s="23" t="s">
        <v>147</v>
      </c>
    </row>
    <row r="562" spans="1:15">
      <c r="E562" s="9">
        <f t="shared" si="322"/>
        <v>562</v>
      </c>
      <c r="F562" s="9" t="s">
        <v>118</v>
      </c>
      <c r="K562" s="9" t="s">
        <v>139</v>
      </c>
      <c r="O562" s="23">
        <v>2</v>
      </c>
    </row>
    <row r="563" spans="1:15">
      <c r="E563" s="9">
        <f t="shared" si="322"/>
        <v>563</v>
      </c>
      <c r="F563" s="9" t="s">
        <v>120</v>
      </c>
      <c r="G563" s="23" t="b">
        <f t="shared" ref="G563" si="324">MOD(B556,2)=0</f>
        <v>0</v>
      </c>
      <c r="H563" s="23" t="s">
        <v>146</v>
      </c>
      <c r="I563" s="23" t="s">
        <v>244</v>
      </c>
      <c r="O563" s="23" t="str">
        <f t="shared" ref="O563" si="325">IF(G563,H563,I563)</f>
        <v>Shot5_red</v>
      </c>
    </row>
    <row r="564" spans="1:15">
      <c r="E564" s="9">
        <f t="shared" si="322"/>
        <v>564</v>
      </c>
      <c r="F564" s="9" t="s">
        <v>30</v>
      </c>
      <c r="H564" s="23">
        <v>1.5</v>
      </c>
      <c r="I564" s="23">
        <v>1</v>
      </c>
      <c r="O564" s="23">
        <f t="shared" ref="O564" si="326">IF(B556&lt;=2,H564,I564)</f>
        <v>1</v>
      </c>
    </row>
    <row r="565" spans="1:15">
      <c r="E565" s="9">
        <f t="shared" si="322"/>
        <v>565</v>
      </c>
      <c r="F565" s="9" t="s">
        <v>31</v>
      </c>
      <c r="G565" s="23">
        <v>360</v>
      </c>
      <c r="L565" s="9" t="s">
        <v>136</v>
      </c>
      <c r="O565" s="23">
        <f t="shared" ref="O565" si="327">G565/G557*C556</f>
        <v>192</v>
      </c>
    </row>
    <row r="566" spans="1:15">
      <c r="E566" s="9">
        <f t="shared" si="322"/>
        <v>566</v>
      </c>
      <c r="F566" s="9" t="s">
        <v>100</v>
      </c>
      <c r="K566" s="9" t="s">
        <v>139</v>
      </c>
      <c r="O566" s="23">
        <v>2</v>
      </c>
    </row>
    <row r="567" spans="1:15">
      <c r="E567" s="9">
        <f t="shared" si="322"/>
        <v>567</v>
      </c>
      <c r="F567" s="9" t="s">
        <v>127</v>
      </c>
      <c r="O567" s="23">
        <v>1000</v>
      </c>
    </row>
    <row r="568" spans="1:15">
      <c r="E568" s="9">
        <f t="shared" si="322"/>
        <v>568</v>
      </c>
      <c r="F568" s="9" t="s">
        <v>99</v>
      </c>
      <c r="O568" s="23">
        <v>1200</v>
      </c>
    </row>
    <row r="569" spans="1:15">
      <c r="A569" s="22" t="s">
        <v>231</v>
      </c>
      <c r="B569" s="22">
        <f t="shared" ref="B569" si="328">QUOTIENT( D569-1,G570)+1</f>
        <v>3</v>
      </c>
      <c r="C569" s="22">
        <f t="shared" ref="C569" si="329">D569-(B569-1)*G570</f>
        <v>9</v>
      </c>
      <c r="D569" s="22">
        <f>COUNT($D$74:$D568)+1</f>
        <v>39</v>
      </c>
      <c r="F569" s="9" t="s">
        <v>231</v>
      </c>
      <c r="K569" s="9" t="s">
        <v>231</v>
      </c>
      <c r="L569" s="9" t="s">
        <v>231</v>
      </c>
      <c r="M569" s="9" t="s">
        <v>231</v>
      </c>
      <c r="N569" s="9" t="s">
        <v>231</v>
      </c>
    </row>
    <row r="570" spans="1:15">
      <c r="E570" s="9">
        <f t="shared" ref="E570:E581" si="330">ROW(E570)</f>
        <v>570</v>
      </c>
      <c r="F570" s="9" t="s">
        <v>95</v>
      </c>
      <c r="G570" s="23">
        <v>15</v>
      </c>
      <c r="H570" s="23">
        <v>4</v>
      </c>
      <c r="J570" s="23">
        <v>13400</v>
      </c>
      <c r="K570" s="9" t="s">
        <v>231</v>
      </c>
      <c r="L570" s="9" t="s">
        <v>231</v>
      </c>
      <c r="M570" s="9" t="s">
        <v>231</v>
      </c>
      <c r="N570" s="9" t="s">
        <v>231</v>
      </c>
      <c r="O570" s="23">
        <f t="shared" ref="O570" si="331">J570+D569</f>
        <v>13439</v>
      </c>
    </row>
    <row r="571" spans="1:15">
      <c r="E571" s="9">
        <f t="shared" si="330"/>
        <v>571</v>
      </c>
      <c r="F571" s="9" t="s">
        <v>145</v>
      </c>
      <c r="G571" s="23">
        <v>13301</v>
      </c>
      <c r="H571" s="23">
        <v>13302</v>
      </c>
      <c r="I571" s="23">
        <v>13303</v>
      </c>
      <c r="J571" s="23">
        <v>13304</v>
      </c>
      <c r="K571" s="9" t="s">
        <v>231</v>
      </c>
      <c r="L571" s="9" t="s">
        <v>231</v>
      </c>
      <c r="M571" s="9" t="s">
        <v>231</v>
      </c>
      <c r="N571" s="9" t="s">
        <v>231</v>
      </c>
      <c r="O571" s="23" cm="1">
        <f t="array" ref="O571">_xlfn.SWITCH(B569,1,G571,2,H571,3,I571,4,J571)</f>
        <v>13303</v>
      </c>
    </row>
    <row r="572" spans="1:15">
      <c r="E572" s="9">
        <f t="shared" si="330"/>
        <v>572</v>
      </c>
      <c r="F572" s="9" t="s">
        <v>128</v>
      </c>
      <c r="K572" s="9" t="s">
        <v>231</v>
      </c>
      <c r="L572" s="9" t="s">
        <v>231</v>
      </c>
      <c r="M572" s="9" t="s">
        <v>231</v>
      </c>
      <c r="N572" s="9" t="s">
        <v>231</v>
      </c>
      <c r="O572" s="23">
        <v>0</v>
      </c>
    </row>
    <row r="573" spans="1:15">
      <c r="E573" s="9">
        <f t="shared" si="330"/>
        <v>573</v>
      </c>
      <c r="F573" s="9" t="s">
        <v>200</v>
      </c>
      <c r="K573" s="9" t="s">
        <v>231</v>
      </c>
      <c r="L573" s="9" t="s">
        <v>231</v>
      </c>
      <c r="M573" s="9" t="s">
        <v>231</v>
      </c>
      <c r="N573" s="9" t="s">
        <v>231</v>
      </c>
      <c r="O573" s="23">
        <v>60</v>
      </c>
    </row>
    <row r="574" spans="1:15">
      <c r="E574" s="9">
        <f t="shared" si="330"/>
        <v>574</v>
      </c>
      <c r="F574" s="9" t="s">
        <v>29</v>
      </c>
      <c r="O574" s="23" t="s">
        <v>147</v>
      </c>
    </row>
    <row r="575" spans="1:15">
      <c r="E575" s="9">
        <f t="shared" si="330"/>
        <v>575</v>
      </c>
      <c r="F575" s="9" t="s">
        <v>118</v>
      </c>
      <c r="K575" s="9" t="s">
        <v>139</v>
      </c>
      <c r="O575" s="23">
        <v>2</v>
      </c>
    </row>
    <row r="576" spans="1:15">
      <c r="E576" s="9">
        <f t="shared" si="330"/>
        <v>576</v>
      </c>
      <c r="F576" s="9" t="s">
        <v>120</v>
      </c>
      <c r="G576" s="23" t="b">
        <f t="shared" ref="G576" si="332">MOD(B569,2)=0</f>
        <v>0</v>
      </c>
      <c r="H576" s="23" t="s">
        <v>146</v>
      </c>
      <c r="I576" s="23" t="s">
        <v>244</v>
      </c>
      <c r="O576" s="23" t="str">
        <f t="shared" ref="O576" si="333">IF(G576,H576,I576)</f>
        <v>Shot5_red</v>
      </c>
    </row>
    <row r="577" spans="1:15">
      <c r="E577" s="9">
        <f t="shared" si="330"/>
        <v>577</v>
      </c>
      <c r="F577" s="9" t="s">
        <v>30</v>
      </c>
      <c r="H577" s="23">
        <v>1.5</v>
      </c>
      <c r="I577" s="23">
        <v>1</v>
      </c>
      <c r="O577" s="23">
        <f t="shared" ref="O577" si="334">IF(B569&lt;=2,H577,I577)</f>
        <v>1</v>
      </c>
    </row>
    <row r="578" spans="1:15">
      <c r="E578" s="9">
        <f t="shared" si="330"/>
        <v>578</v>
      </c>
      <c r="F578" s="9" t="s">
        <v>31</v>
      </c>
      <c r="G578" s="23">
        <v>360</v>
      </c>
      <c r="L578" s="9" t="s">
        <v>136</v>
      </c>
      <c r="O578" s="23">
        <f t="shared" ref="O578" si="335">G578/G570*C569</f>
        <v>216</v>
      </c>
    </row>
    <row r="579" spans="1:15">
      <c r="E579" s="9">
        <f t="shared" si="330"/>
        <v>579</v>
      </c>
      <c r="F579" s="9" t="s">
        <v>100</v>
      </c>
      <c r="K579" s="9" t="s">
        <v>139</v>
      </c>
      <c r="O579" s="23">
        <v>2</v>
      </c>
    </row>
    <row r="580" spans="1:15">
      <c r="E580" s="9">
        <f t="shared" si="330"/>
        <v>580</v>
      </c>
      <c r="F580" s="9" t="s">
        <v>127</v>
      </c>
      <c r="O580" s="23">
        <v>1000</v>
      </c>
    </row>
    <row r="581" spans="1:15">
      <c r="E581" s="9">
        <f t="shared" si="330"/>
        <v>581</v>
      </c>
      <c r="F581" s="9" t="s">
        <v>99</v>
      </c>
      <c r="O581" s="23">
        <v>1200</v>
      </c>
    </row>
    <row r="582" spans="1:15">
      <c r="A582" s="22" t="s">
        <v>231</v>
      </c>
      <c r="B582" s="22">
        <f t="shared" ref="B582" si="336">QUOTIENT( D582-1,G583)+1</f>
        <v>3</v>
      </c>
      <c r="C582" s="22">
        <f t="shared" ref="C582" si="337">D582-(B582-1)*G583</f>
        <v>10</v>
      </c>
      <c r="D582" s="22">
        <f>COUNT($D$74:$D581)+1</f>
        <v>40</v>
      </c>
      <c r="F582" s="9" t="s">
        <v>231</v>
      </c>
      <c r="K582" s="9" t="s">
        <v>231</v>
      </c>
      <c r="L582" s="9" t="s">
        <v>231</v>
      </c>
      <c r="M582" s="9" t="s">
        <v>231</v>
      </c>
      <c r="N582" s="9" t="s">
        <v>231</v>
      </c>
    </row>
    <row r="583" spans="1:15">
      <c r="E583" s="9">
        <f t="shared" ref="E583:E594" si="338">ROW(E583)</f>
        <v>583</v>
      </c>
      <c r="F583" s="9" t="s">
        <v>95</v>
      </c>
      <c r="G583" s="23">
        <v>15</v>
      </c>
      <c r="H583" s="23">
        <v>4</v>
      </c>
      <c r="J583" s="23">
        <v>13400</v>
      </c>
      <c r="K583" s="9" t="s">
        <v>231</v>
      </c>
      <c r="L583" s="9" t="s">
        <v>231</v>
      </c>
      <c r="M583" s="9" t="s">
        <v>231</v>
      </c>
      <c r="N583" s="9" t="s">
        <v>231</v>
      </c>
      <c r="O583" s="23">
        <f t="shared" ref="O583" si="339">J583+D582</f>
        <v>13440</v>
      </c>
    </row>
    <row r="584" spans="1:15">
      <c r="E584" s="9">
        <f t="shared" si="338"/>
        <v>584</v>
      </c>
      <c r="F584" s="9" t="s">
        <v>145</v>
      </c>
      <c r="G584" s="23">
        <v>13301</v>
      </c>
      <c r="H584" s="23">
        <v>13302</v>
      </c>
      <c r="I584" s="23">
        <v>13303</v>
      </c>
      <c r="J584" s="23">
        <v>13304</v>
      </c>
      <c r="K584" s="9" t="s">
        <v>231</v>
      </c>
      <c r="L584" s="9" t="s">
        <v>231</v>
      </c>
      <c r="M584" s="9" t="s">
        <v>231</v>
      </c>
      <c r="N584" s="9" t="s">
        <v>231</v>
      </c>
      <c r="O584" s="23" cm="1">
        <f t="array" ref="O584">_xlfn.SWITCH(B582,1,G584,2,H584,3,I584,4,J584)</f>
        <v>13303</v>
      </c>
    </row>
    <row r="585" spans="1:15">
      <c r="E585" s="9">
        <f t="shared" si="338"/>
        <v>585</v>
      </c>
      <c r="F585" s="9" t="s">
        <v>128</v>
      </c>
      <c r="K585" s="9" t="s">
        <v>231</v>
      </c>
      <c r="L585" s="9" t="s">
        <v>231</v>
      </c>
      <c r="M585" s="9" t="s">
        <v>231</v>
      </c>
      <c r="N585" s="9" t="s">
        <v>231</v>
      </c>
      <c r="O585" s="23">
        <v>0</v>
      </c>
    </row>
    <row r="586" spans="1:15">
      <c r="E586" s="9">
        <f t="shared" si="338"/>
        <v>586</v>
      </c>
      <c r="F586" s="9" t="s">
        <v>200</v>
      </c>
      <c r="K586" s="9" t="s">
        <v>231</v>
      </c>
      <c r="L586" s="9" t="s">
        <v>231</v>
      </c>
      <c r="M586" s="9" t="s">
        <v>231</v>
      </c>
      <c r="N586" s="9" t="s">
        <v>231</v>
      </c>
      <c r="O586" s="23">
        <v>60</v>
      </c>
    </row>
    <row r="587" spans="1:15">
      <c r="E587" s="9">
        <f t="shared" si="338"/>
        <v>587</v>
      </c>
      <c r="F587" s="9" t="s">
        <v>29</v>
      </c>
      <c r="O587" s="23" t="s">
        <v>147</v>
      </c>
    </row>
    <row r="588" spans="1:15">
      <c r="E588" s="9">
        <f t="shared" si="338"/>
        <v>588</v>
      </c>
      <c r="F588" s="9" t="s">
        <v>118</v>
      </c>
      <c r="K588" s="9" t="s">
        <v>139</v>
      </c>
      <c r="O588" s="23">
        <v>2</v>
      </c>
    </row>
    <row r="589" spans="1:15">
      <c r="E589" s="9">
        <f t="shared" si="338"/>
        <v>589</v>
      </c>
      <c r="F589" s="9" t="s">
        <v>120</v>
      </c>
      <c r="G589" s="23" t="b">
        <f t="shared" ref="G589" si="340">MOD(B582,2)=0</f>
        <v>0</v>
      </c>
      <c r="H589" s="23" t="s">
        <v>146</v>
      </c>
      <c r="I589" s="23" t="s">
        <v>244</v>
      </c>
      <c r="O589" s="23" t="str">
        <f t="shared" ref="O589" si="341">IF(G589,H589,I589)</f>
        <v>Shot5_red</v>
      </c>
    </row>
    <row r="590" spans="1:15">
      <c r="E590" s="9">
        <f t="shared" si="338"/>
        <v>590</v>
      </c>
      <c r="F590" s="9" t="s">
        <v>30</v>
      </c>
      <c r="H590" s="23">
        <v>1.5</v>
      </c>
      <c r="I590" s="23">
        <v>1</v>
      </c>
      <c r="O590" s="23">
        <f t="shared" ref="O590" si="342">IF(B582&lt;=2,H590,I590)</f>
        <v>1</v>
      </c>
    </row>
    <row r="591" spans="1:15">
      <c r="E591" s="9">
        <f t="shared" si="338"/>
        <v>591</v>
      </c>
      <c r="F591" s="9" t="s">
        <v>31</v>
      </c>
      <c r="G591" s="23">
        <v>360</v>
      </c>
      <c r="L591" s="9" t="s">
        <v>136</v>
      </c>
      <c r="O591" s="23">
        <f t="shared" ref="O591" si="343">G591/G583*C582</f>
        <v>240</v>
      </c>
    </row>
    <row r="592" spans="1:15">
      <c r="E592" s="9">
        <f t="shared" si="338"/>
        <v>592</v>
      </c>
      <c r="F592" s="9" t="s">
        <v>100</v>
      </c>
      <c r="K592" s="9" t="s">
        <v>139</v>
      </c>
      <c r="O592" s="23">
        <v>2</v>
      </c>
    </row>
    <row r="593" spans="1:15">
      <c r="E593" s="9">
        <f t="shared" si="338"/>
        <v>593</v>
      </c>
      <c r="F593" s="9" t="s">
        <v>127</v>
      </c>
      <c r="O593" s="23">
        <v>1000</v>
      </c>
    </row>
    <row r="594" spans="1:15">
      <c r="E594" s="9">
        <f t="shared" si="338"/>
        <v>594</v>
      </c>
      <c r="F594" s="9" t="s">
        <v>99</v>
      </c>
      <c r="O594" s="23">
        <v>1200</v>
      </c>
    </row>
    <row r="595" spans="1:15">
      <c r="A595" s="22" t="s">
        <v>231</v>
      </c>
      <c r="B595" s="22">
        <f t="shared" ref="B595" si="344">QUOTIENT( D595-1,G596)+1</f>
        <v>3</v>
      </c>
      <c r="C595" s="22">
        <f t="shared" ref="C595" si="345">D595-(B595-1)*G596</f>
        <v>11</v>
      </c>
      <c r="D595" s="22">
        <f>COUNT($D$74:$D594)+1</f>
        <v>41</v>
      </c>
      <c r="F595" s="9" t="s">
        <v>231</v>
      </c>
      <c r="K595" s="9" t="s">
        <v>231</v>
      </c>
      <c r="L595" s="9" t="s">
        <v>231</v>
      </c>
      <c r="M595" s="9" t="s">
        <v>231</v>
      </c>
      <c r="N595" s="9" t="s">
        <v>231</v>
      </c>
    </row>
    <row r="596" spans="1:15">
      <c r="E596" s="9">
        <f t="shared" ref="E596:E607" si="346">ROW(E596)</f>
        <v>596</v>
      </c>
      <c r="F596" s="9" t="s">
        <v>95</v>
      </c>
      <c r="G596" s="23">
        <v>15</v>
      </c>
      <c r="H596" s="23">
        <v>4</v>
      </c>
      <c r="J596" s="23">
        <v>13400</v>
      </c>
      <c r="K596" s="9" t="s">
        <v>231</v>
      </c>
      <c r="L596" s="9" t="s">
        <v>231</v>
      </c>
      <c r="M596" s="9" t="s">
        <v>231</v>
      </c>
      <c r="N596" s="9" t="s">
        <v>231</v>
      </c>
      <c r="O596" s="23">
        <f t="shared" ref="O596" si="347">J596+D595</f>
        <v>13441</v>
      </c>
    </row>
    <row r="597" spans="1:15">
      <c r="E597" s="9">
        <f t="shared" si="346"/>
        <v>597</v>
      </c>
      <c r="F597" s="9" t="s">
        <v>145</v>
      </c>
      <c r="G597" s="23">
        <v>13301</v>
      </c>
      <c r="H597" s="23">
        <v>13302</v>
      </c>
      <c r="I597" s="23">
        <v>13303</v>
      </c>
      <c r="J597" s="23">
        <v>13304</v>
      </c>
      <c r="K597" s="9" t="s">
        <v>231</v>
      </c>
      <c r="L597" s="9" t="s">
        <v>231</v>
      </c>
      <c r="M597" s="9" t="s">
        <v>231</v>
      </c>
      <c r="N597" s="9" t="s">
        <v>231</v>
      </c>
      <c r="O597" s="23" cm="1">
        <f t="array" ref="O597">_xlfn.SWITCH(B595,1,G597,2,H597,3,I597,4,J597)</f>
        <v>13303</v>
      </c>
    </row>
    <row r="598" spans="1:15">
      <c r="E598" s="9">
        <f t="shared" si="346"/>
        <v>598</v>
      </c>
      <c r="F598" s="9" t="s">
        <v>128</v>
      </c>
      <c r="K598" s="9" t="s">
        <v>231</v>
      </c>
      <c r="L598" s="9" t="s">
        <v>231</v>
      </c>
      <c r="M598" s="9" t="s">
        <v>231</v>
      </c>
      <c r="N598" s="9" t="s">
        <v>231</v>
      </c>
      <c r="O598" s="23">
        <v>0</v>
      </c>
    </row>
    <row r="599" spans="1:15">
      <c r="E599" s="9">
        <f t="shared" si="346"/>
        <v>599</v>
      </c>
      <c r="F599" s="9" t="s">
        <v>200</v>
      </c>
      <c r="K599" s="9" t="s">
        <v>231</v>
      </c>
      <c r="L599" s="9" t="s">
        <v>231</v>
      </c>
      <c r="M599" s="9" t="s">
        <v>231</v>
      </c>
      <c r="N599" s="9" t="s">
        <v>231</v>
      </c>
      <c r="O599" s="23">
        <v>60</v>
      </c>
    </row>
    <row r="600" spans="1:15">
      <c r="E600" s="9">
        <f t="shared" si="346"/>
        <v>600</v>
      </c>
      <c r="F600" s="9" t="s">
        <v>29</v>
      </c>
      <c r="O600" s="23" t="s">
        <v>147</v>
      </c>
    </row>
    <row r="601" spans="1:15">
      <c r="E601" s="9">
        <f t="shared" si="346"/>
        <v>601</v>
      </c>
      <c r="F601" s="9" t="s">
        <v>118</v>
      </c>
      <c r="K601" s="9" t="s">
        <v>139</v>
      </c>
      <c r="O601" s="23">
        <v>2</v>
      </c>
    </row>
    <row r="602" spans="1:15">
      <c r="E602" s="9">
        <f t="shared" si="346"/>
        <v>602</v>
      </c>
      <c r="F602" s="9" t="s">
        <v>120</v>
      </c>
      <c r="G602" s="23" t="b">
        <f t="shared" ref="G602" si="348">MOD(B595,2)=0</f>
        <v>0</v>
      </c>
      <c r="H602" s="23" t="s">
        <v>146</v>
      </c>
      <c r="I602" s="23" t="s">
        <v>244</v>
      </c>
      <c r="O602" s="23" t="str">
        <f t="shared" ref="O602" si="349">IF(G602,H602,I602)</f>
        <v>Shot5_red</v>
      </c>
    </row>
    <row r="603" spans="1:15">
      <c r="E603" s="9">
        <f t="shared" si="346"/>
        <v>603</v>
      </c>
      <c r="F603" s="9" t="s">
        <v>30</v>
      </c>
      <c r="H603" s="23">
        <v>1.5</v>
      </c>
      <c r="I603" s="23">
        <v>1</v>
      </c>
      <c r="O603" s="23">
        <f t="shared" ref="O603" si="350">IF(B595&lt;=2,H603,I603)</f>
        <v>1</v>
      </c>
    </row>
    <row r="604" spans="1:15">
      <c r="E604" s="9">
        <f t="shared" si="346"/>
        <v>604</v>
      </c>
      <c r="F604" s="9" t="s">
        <v>31</v>
      </c>
      <c r="G604" s="23">
        <v>360</v>
      </c>
      <c r="L604" s="9" t="s">
        <v>136</v>
      </c>
      <c r="O604" s="23">
        <f t="shared" ref="O604" si="351">G604/G596*C595</f>
        <v>264</v>
      </c>
    </row>
    <row r="605" spans="1:15">
      <c r="E605" s="9">
        <f t="shared" si="346"/>
        <v>605</v>
      </c>
      <c r="F605" s="9" t="s">
        <v>100</v>
      </c>
      <c r="K605" s="9" t="s">
        <v>139</v>
      </c>
      <c r="O605" s="23">
        <v>2</v>
      </c>
    </row>
    <row r="606" spans="1:15">
      <c r="E606" s="9">
        <f t="shared" si="346"/>
        <v>606</v>
      </c>
      <c r="F606" s="9" t="s">
        <v>127</v>
      </c>
      <c r="O606" s="23">
        <v>1000</v>
      </c>
    </row>
    <row r="607" spans="1:15">
      <c r="E607" s="9">
        <f t="shared" si="346"/>
        <v>607</v>
      </c>
      <c r="F607" s="9" t="s">
        <v>99</v>
      </c>
      <c r="O607" s="23">
        <v>1200</v>
      </c>
    </row>
    <row r="608" spans="1:15">
      <c r="A608" s="22" t="s">
        <v>231</v>
      </c>
      <c r="B608" s="22">
        <f t="shared" ref="B608" si="352">QUOTIENT( D608-1,G609)+1</f>
        <v>3</v>
      </c>
      <c r="C608" s="22">
        <f t="shared" ref="C608" si="353">D608-(B608-1)*G609</f>
        <v>12</v>
      </c>
      <c r="D608" s="22">
        <f>COUNT($D$74:$D607)+1</f>
        <v>42</v>
      </c>
      <c r="F608" s="9" t="s">
        <v>231</v>
      </c>
      <c r="K608" s="9" t="s">
        <v>231</v>
      </c>
      <c r="L608" s="9" t="s">
        <v>231</v>
      </c>
      <c r="M608" s="9" t="s">
        <v>231</v>
      </c>
      <c r="N608" s="9" t="s">
        <v>231</v>
      </c>
    </row>
    <row r="609" spans="1:15">
      <c r="E609" s="9">
        <f t="shared" ref="E609:E620" si="354">ROW(E609)</f>
        <v>609</v>
      </c>
      <c r="F609" s="9" t="s">
        <v>95</v>
      </c>
      <c r="G609" s="23">
        <v>15</v>
      </c>
      <c r="H609" s="23">
        <v>4</v>
      </c>
      <c r="J609" s="23">
        <v>13400</v>
      </c>
      <c r="K609" s="9" t="s">
        <v>231</v>
      </c>
      <c r="L609" s="9" t="s">
        <v>231</v>
      </c>
      <c r="M609" s="9" t="s">
        <v>231</v>
      </c>
      <c r="N609" s="9" t="s">
        <v>231</v>
      </c>
      <c r="O609" s="23">
        <f t="shared" ref="O609" si="355">J609+D608</f>
        <v>13442</v>
      </c>
    </row>
    <row r="610" spans="1:15">
      <c r="E610" s="9">
        <f t="shared" si="354"/>
        <v>610</v>
      </c>
      <c r="F610" s="9" t="s">
        <v>145</v>
      </c>
      <c r="G610" s="23">
        <v>13301</v>
      </c>
      <c r="H610" s="23">
        <v>13302</v>
      </c>
      <c r="I610" s="23">
        <v>13303</v>
      </c>
      <c r="J610" s="23">
        <v>13304</v>
      </c>
      <c r="K610" s="9" t="s">
        <v>231</v>
      </c>
      <c r="L610" s="9" t="s">
        <v>231</v>
      </c>
      <c r="M610" s="9" t="s">
        <v>231</v>
      </c>
      <c r="N610" s="9" t="s">
        <v>231</v>
      </c>
      <c r="O610" s="23" cm="1">
        <f t="array" ref="O610">_xlfn.SWITCH(B608,1,G610,2,H610,3,I610,4,J610)</f>
        <v>13303</v>
      </c>
    </row>
    <row r="611" spans="1:15">
      <c r="E611" s="9">
        <f t="shared" si="354"/>
        <v>611</v>
      </c>
      <c r="F611" s="9" t="s">
        <v>128</v>
      </c>
      <c r="K611" s="9" t="s">
        <v>231</v>
      </c>
      <c r="L611" s="9" t="s">
        <v>231</v>
      </c>
      <c r="M611" s="9" t="s">
        <v>231</v>
      </c>
      <c r="N611" s="9" t="s">
        <v>231</v>
      </c>
      <c r="O611" s="23">
        <v>0</v>
      </c>
    </row>
    <row r="612" spans="1:15">
      <c r="E612" s="9">
        <f t="shared" si="354"/>
        <v>612</v>
      </c>
      <c r="F612" s="9" t="s">
        <v>200</v>
      </c>
      <c r="K612" s="9" t="s">
        <v>231</v>
      </c>
      <c r="L612" s="9" t="s">
        <v>231</v>
      </c>
      <c r="M612" s="9" t="s">
        <v>231</v>
      </c>
      <c r="N612" s="9" t="s">
        <v>231</v>
      </c>
      <c r="O612" s="23">
        <v>60</v>
      </c>
    </row>
    <row r="613" spans="1:15">
      <c r="E613" s="9">
        <f t="shared" si="354"/>
        <v>613</v>
      </c>
      <c r="F613" s="9" t="s">
        <v>29</v>
      </c>
      <c r="O613" s="23" t="s">
        <v>147</v>
      </c>
    </row>
    <row r="614" spans="1:15">
      <c r="E614" s="9">
        <f t="shared" si="354"/>
        <v>614</v>
      </c>
      <c r="F614" s="9" t="s">
        <v>118</v>
      </c>
      <c r="K614" s="9" t="s">
        <v>139</v>
      </c>
      <c r="O614" s="23">
        <v>2</v>
      </c>
    </row>
    <row r="615" spans="1:15">
      <c r="E615" s="9">
        <f t="shared" si="354"/>
        <v>615</v>
      </c>
      <c r="F615" s="9" t="s">
        <v>120</v>
      </c>
      <c r="G615" s="23" t="b">
        <f t="shared" ref="G615" si="356">MOD(B608,2)=0</f>
        <v>0</v>
      </c>
      <c r="H615" s="23" t="s">
        <v>146</v>
      </c>
      <c r="I615" s="23" t="s">
        <v>244</v>
      </c>
      <c r="O615" s="23" t="str">
        <f t="shared" ref="O615" si="357">IF(G615,H615,I615)</f>
        <v>Shot5_red</v>
      </c>
    </row>
    <row r="616" spans="1:15">
      <c r="E616" s="9">
        <f t="shared" si="354"/>
        <v>616</v>
      </c>
      <c r="F616" s="9" t="s">
        <v>30</v>
      </c>
      <c r="H616" s="23">
        <v>1.5</v>
      </c>
      <c r="I616" s="23">
        <v>1</v>
      </c>
      <c r="O616" s="23">
        <f t="shared" ref="O616" si="358">IF(B608&lt;=2,H616,I616)</f>
        <v>1</v>
      </c>
    </row>
    <row r="617" spans="1:15">
      <c r="E617" s="9">
        <f t="shared" si="354"/>
        <v>617</v>
      </c>
      <c r="F617" s="9" t="s">
        <v>31</v>
      </c>
      <c r="G617" s="23">
        <v>360</v>
      </c>
      <c r="L617" s="9" t="s">
        <v>136</v>
      </c>
      <c r="O617" s="23">
        <f t="shared" ref="O617" si="359">G617/G609*C608</f>
        <v>288</v>
      </c>
    </row>
    <row r="618" spans="1:15">
      <c r="E618" s="9">
        <f t="shared" si="354"/>
        <v>618</v>
      </c>
      <c r="F618" s="9" t="s">
        <v>100</v>
      </c>
      <c r="K618" s="9" t="s">
        <v>139</v>
      </c>
      <c r="O618" s="23">
        <v>2</v>
      </c>
    </row>
    <row r="619" spans="1:15">
      <c r="E619" s="9">
        <f t="shared" si="354"/>
        <v>619</v>
      </c>
      <c r="F619" s="9" t="s">
        <v>127</v>
      </c>
      <c r="O619" s="23">
        <v>1000</v>
      </c>
    </row>
    <row r="620" spans="1:15">
      <c r="E620" s="9">
        <f t="shared" si="354"/>
        <v>620</v>
      </c>
      <c r="F620" s="9" t="s">
        <v>99</v>
      </c>
      <c r="O620" s="23">
        <v>1200</v>
      </c>
    </row>
    <row r="621" spans="1:15">
      <c r="A621" s="22" t="s">
        <v>231</v>
      </c>
      <c r="B621" s="22">
        <f t="shared" ref="B621" si="360">QUOTIENT( D621-1,G622)+1</f>
        <v>3</v>
      </c>
      <c r="C621" s="22">
        <f t="shared" ref="C621" si="361">D621-(B621-1)*G622</f>
        <v>13</v>
      </c>
      <c r="D621" s="22">
        <f>COUNT($D$74:$D620)+1</f>
        <v>43</v>
      </c>
      <c r="F621" s="9" t="s">
        <v>231</v>
      </c>
      <c r="K621" s="9" t="s">
        <v>231</v>
      </c>
      <c r="L621" s="9" t="s">
        <v>231</v>
      </c>
      <c r="M621" s="9" t="s">
        <v>231</v>
      </c>
      <c r="N621" s="9" t="s">
        <v>231</v>
      </c>
    </row>
    <row r="622" spans="1:15">
      <c r="E622" s="9">
        <f t="shared" ref="E622:E633" si="362">ROW(E622)</f>
        <v>622</v>
      </c>
      <c r="F622" s="9" t="s">
        <v>95</v>
      </c>
      <c r="G622" s="23">
        <v>15</v>
      </c>
      <c r="H622" s="23">
        <v>4</v>
      </c>
      <c r="J622" s="23">
        <v>13400</v>
      </c>
      <c r="K622" s="9" t="s">
        <v>231</v>
      </c>
      <c r="L622" s="9" t="s">
        <v>231</v>
      </c>
      <c r="M622" s="9" t="s">
        <v>231</v>
      </c>
      <c r="N622" s="9" t="s">
        <v>231</v>
      </c>
      <c r="O622" s="23">
        <f t="shared" ref="O622" si="363">J622+D621</f>
        <v>13443</v>
      </c>
    </row>
    <row r="623" spans="1:15">
      <c r="E623" s="9">
        <f t="shared" si="362"/>
        <v>623</v>
      </c>
      <c r="F623" s="9" t="s">
        <v>145</v>
      </c>
      <c r="G623" s="23">
        <v>13301</v>
      </c>
      <c r="H623" s="23">
        <v>13302</v>
      </c>
      <c r="I623" s="23">
        <v>13303</v>
      </c>
      <c r="J623" s="23">
        <v>13304</v>
      </c>
      <c r="K623" s="9" t="s">
        <v>231</v>
      </c>
      <c r="L623" s="9" t="s">
        <v>231</v>
      </c>
      <c r="M623" s="9" t="s">
        <v>231</v>
      </c>
      <c r="N623" s="9" t="s">
        <v>231</v>
      </c>
      <c r="O623" s="23" cm="1">
        <f t="array" ref="O623">_xlfn.SWITCH(B621,1,G623,2,H623,3,I623,4,J623)</f>
        <v>13303</v>
      </c>
    </row>
    <row r="624" spans="1:15">
      <c r="E624" s="9">
        <f t="shared" si="362"/>
        <v>624</v>
      </c>
      <c r="F624" s="9" t="s">
        <v>128</v>
      </c>
      <c r="K624" s="9" t="s">
        <v>231</v>
      </c>
      <c r="L624" s="9" t="s">
        <v>231</v>
      </c>
      <c r="M624" s="9" t="s">
        <v>231</v>
      </c>
      <c r="N624" s="9" t="s">
        <v>231</v>
      </c>
      <c r="O624" s="23">
        <v>0</v>
      </c>
    </row>
    <row r="625" spans="1:15">
      <c r="E625" s="9">
        <f t="shared" si="362"/>
        <v>625</v>
      </c>
      <c r="F625" s="9" t="s">
        <v>200</v>
      </c>
      <c r="K625" s="9" t="s">
        <v>231</v>
      </c>
      <c r="L625" s="9" t="s">
        <v>231</v>
      </c>
      <c r="M625" s="9" t="s">
        <v>231</v>
      </c>
      <c r="N625" s="9" t="s">
        <v>231</v>
      </c>
      <c r="O625" s="23">
        <v>60</v>
      </c>
    </row>
    <row r="626" spans="1:15">
      <c r="E626" s="9">
        <f t="shared" si="362"/>
        <v>626</v>
      </c>
      <c r="F626" s="9" t="s">
        <v>29</v>
      </c>
      <c r="O626" s="23" t="s">
        <v>147</v>
      </c>
    </row>
    <row r="627" spans="1:15">
      <c r="E627" s="9">
        <f t="shared" si="362"/>
        <v>627</v>
      </c>
      <c r="F627" s="9" t="s">
        <v>118</v>
      </c>
      <c r="K627" s="9" t="s">
        <v>139</v>
      </c>
      <c r="O627" s="23">
        <v>2</v>
      </c>
    </row>
    <row r="628" spans="1:15">
      <c r="E628" s="9">
        <f t="shared" si="362"/>
        <v>628</v>
      </c>
      <c r="F628" s="9" t="s">
        <v>120</v>
      </c>
      <c r="G628" s="23" t="b">
        <f t="shared" ref="G628" si="364">MOD(B621,2)=0</f>
        <v>0</v>
      </c>
      <c r="H628" s="23" t="s">
        <v>146</v>
      </c>
      <c r="I628" s="23" t="s">
        <v>244</v>
      </c>
      <c r="O628" s="23" t="str">
        <f t="shared" ref="O628" si="365">IF(G628,H628,I628)</f>
        <v>Shot5_red</v>
      </c>
    </row>
    <row r="629" spans="1:15">
      <c r="E629" s="9">
        <f t="shared" si="362"/>
        <v>629</v>
      </c>
      <c r="F629" s="9" t="s">
        <v>30</v>
      </c>
      <c r="H629" s="23">
        <v>1.5</v>
      </c>
      <c r="I629" s="23">
        <v>1</v>
      </c>
      <c r="O629" s="23">
        <f t="shared" ref="O629" si="366">IF(B621&lt;=2,H629,I629)</f>
        <v>1</v>
      </c>
    </row>
    <row r="630" spans="1:15">
      <c r="E630" s="9">
        <f t="shared" si="362"/>
        <v>630</v>
      </c>
      <c r="F630" s="9" t="s">
        <v>31</v>
      </c>
      <c r="G630" s="23">
        <v>360</v>
      </c>
      <c r="L630" s="9" t="s">
        <v>136</v>
      </c>
      <c r="O630" s="23">
        <f t="shared" ref="O630" si="367">G630/G622*C621</f>
        <v>312</v>
      </c>
    </row>
    <row r="631" spans="1:15">
      <c r="E631" s="9">
        <f t="shared" si="362"/>
        <v>631</v>
      </c>
      <c r="F631" s="9" t="s">
        <v>100</v>
      </c>
      <c r="K631" s="9" t="s">
        <v>139</v>
      </c>
      <c r="O631" s="23">
        <v>2</v>
      </c>
    </row>
    <row r="632" spans="1:15">
      <c r="E632" s="9">
        <f t="shared" si="362"/>
        <v>632</v>
      </c>
      <c r="F632" s="9" t="s">
        <v>127</v>
      </c>
      <c r="O632" s="23">
        <v>1000</v>
      </c>
    </row>
    <row r="633" spans="1:15">
      <c r="E633" s="9">
        <f t="shared" si="362"/>
        <v>633</v>
      </c>
      <c r="F633" s="9" t="s">
        <v>99</v>
      </c>
      <c r="O633" s="23">
        <v>1200</v>
      </c>
    </row>
    <row r="634" spans="1:15">
      <c r="A634" s="22" t="s">
        <v>231</v>
      </c>
      <c r="B634" s="22">
        <f t="shared" ref="B634" si="368">QUOTIENT( D634-1,G635)+1</f>
        <v>3</v>
      </c>
      <c r="C634" s="22">
        <f t="shared" ref="C634" si="369">D634-(B634-1)*G635</f>
        <v>14</v>
      </c>
      <c r="D634" s="22">
        <f>COUNT($D$74:$D633)+1</f>
        <v>44</v>
      </c>
      <c r="F634" s="9" t="s">
        <v>231</v>
      </c>
      <c r="K634" s="9" t="s">
        <v>231</v>
      </c>
      <c r="L634" s="9" t="s">
        <v>231</v>
      </c>
      <c r="M634" s="9" t="s">
        <v>231</v>
      </c>
      <c r="N634" s="9" t="s">
        <v>231</v>
      </c>
    </row>
    <row r="635" spans="1:15">
      <c r="E635" s="9">
        <f t="shared" ref="E635:E646" si="370">ROW(E635)</f>
        <v>635</v>
      </c>
      <c r="F635" s="9" t="s">
        <v>95</v>
      </c>
      <c r="G635" s="23">
        <v>15</v>
      </c>
      <c r="H635" s="23">
        <v>4</v>
      </c>
      <c r="J635" s="23">
        <v>13400</v>
      </c>
      <c r="K635" s="9" t="s">
        <v>231</v>
      </c>
      <c r="L635" s="9" t="s">
        <v>231</v>
      </c>
      <c r="M635" s="9" t="s">
        <v>231</v>
      </c>
      <c r="N635" s="9" t="s">
        <v>231</v>
      </c>
      <c r="O635" s="23">
        <f t="shared" ref="O635" si="371">J635+D634</f>
        <v>13444</v>
      </c>
    </row>
    <row r="636" spans="1:15">
      <c r="E636" s="9">
        <f t="shared" si="370"/>
        <v>636</v>
      </c>
      <c r="F636" s="9" t="s">
        <v>145</v>
      </c>
      <c r="G636" s="23">
        <v>13301</v>
      </c>
      <c r="H636" s="23">
        <v>13302</v>
      </c>
      <c r="I636" s="23">
        <v>13303</v>
      </c>
      <c r="J636" s="23">
        <v>13304</v>
      </c>
      <c r="K636" s="9" t="s">
        <v>231</v>
      </c>
      <c r="L636" s="9" t="s">
        <v>231</v>
      </c>
      <c r="M636" s="9" t="s">
        <v>231</v>
      </c>
      <c r="N636" s="9" t="s">
        <v>231</v>
      </c>
      <c r="O636" s="23" cm="1">
        <f t="array" ref="O636">_xlfn.SWITCH(B634,1,G636,2,H636,3,I636,4,J636)</f>
        <v>13303</v>
      </c>
    </row>
    <row r="637" spans="1:15">
      <c r="E637" s="9">
        <f t="shared" si="370"/>
        <v>637</v>
      </c>
      <c r="F637" s="9" t="s">
        <v>128</v>
      </c>
      <c r="K637" s="9" t="s">
        <v>231</v>
      </c>
      <c r="L637" s="9" t="s">
        <v>231</v>
      </c>
      <c r="M637" s="9" t="s">
        <v>231</v>
      </c>
      <c r="N637" s="9" t="s">
        <v>231</v>
      </c>
      <c r="O637" s="23">
        <v>0</v>
      </c>
    </row>
    <row r="638" spans="1:15">
      <c r="E638" s="9">
        <f t="shared" si="370"/>
        <v>638</v>
      </c>
      <c r="F638" s="9" t="s">
        <v>200</v>
      </c>
      <c r="K638" s="9" t="s">
        <v>231</v>
      </c>
      <c r="L638" s="9" t="s">
        <v>231</v>
      </c>
      <c r="M638" s="9" t="s">
        <v>231</v>
      </c>
      <c r="N638" s="9" t="s">
        <v>231</v>
      </c>
      <c r="O638" s="23">
        <v>60</v>
      </c>
    </row>
    <row r="639" spans="1:15">
      <c r="E639" s="9">
        <f t="shared" si="370"/>
        <v>639</v>
      </c>
      <c r="F639" s="9" t="s">
        <v>29</v>
      </c>
      <c r="O639" s="23" t="s">
        <v>147</v>
      </c>
    </row>
    <row r="640" spans="1:15">
      <c r="E640" s="9">
        <f t="shared" si="370"/>
        <v>640</v>
      </c>
      <c r="F640" s="9" t="s">
        <v>118</v>
      </c>
      <c r="K640" s="9" t="s">
        <v>139</v>
      </c>
      <c r="O640" s="23">
        <v>2</v>
      </c>
    </row>
    <row r="641" spans="1:15">
      <c r="E641" s="9">
        <f t="shared" si="370"/>
        <v>641</v>
      </c>
      <c r="F641" s="9" t="s">
        <v>120</v>
      </c>
      <c r="G641" s="23" t="b">
        <f t="shared" ref="G641" si="372">MOD(B634,2)=0</f>
        <v>0</v>
      </c>
      <c r="H641" s="23" t="s">
        <v>146</v>
      </c>
      <c r="I641" s="23" t="s">
        <v>244</v>
      </c>
      <c r="O641" s="23" t="str">
        <f t="shared" ref="O641" si="373">IF(G641,H641,I641)</f>
        <v>Shot5_red</v>
      </c>
    </row>
    <row r="642" spans="1:15">
      <c r="E642" s="9">
        <f t="shared" si="370"/>
        <v>642</v>
      </c>
      <c r="F642" s="9" t="s">
        <v>30</v>
      </c>
      <c r="H642" s="23">
        <v>1.5</v>
      </c>
      <c r="I642" s="23">
        <v>1</v>
      </c>
      <c r="O642" s="23">
        <f t="shared" ref="O642" si="374">IF(B634&lt;=2,H642,I642)</f>
        <v>1</v>
      </c>
    </row>
    <row r="643" spans="1:15">
      <c r="E643" s="9">
        <f t="shared" si="370"/>
        <v>643</v>
      </c>
      <c r="F643" s="9" t="s">
        <v>31</v>
      </c>
      <c r="G643" s="23">
        <v>360</v>
      </c>
      <c r="L643" s="9" t="s">
        <v>136</v>
      </c>
      <c r="O643" s="23">
        <f t="shared" ref="O643" si="375">G643/G635*C634</f>
        <v>336</v>
      </c>
    </row>
    <row r="644" spans="1:15">
      <c r="E644" s="9">
        <f t="shared" si="370"/>
        <v>644</v>
      </c>
      <c r="F644" s="9" t="s">
        <v>100</v>
      </c>
      <c r="K644" s="9" t="s">
        <v>139</v>
      </c>
      <c r="O644" s="23">
        <v>2</v>
      </c>
    </row>
    <row r="645" spans="1:15">
      <c r="E645" s="9">
        <f t="shared" si="370"/>
        <v>645</v>
      </c>
      <c r="F645" s="9" t="s">
        <v>127</v>
      </c>
      <c r="O645" s="23">
        <v>1000</v>
      </c>
    </row>
    <row r="646" spans="1:15">
      <c r="E646" s="9">
        <f t="shared" si="370"/>
        <v>646</v>
      </c>
      <c r="F646" s="9" t="s">
        <v>99</v>
      </c>
      <c r="O646" s="23">
        <v>1200</v>
      </c>
    </row>
    <row r="647" spans="1:15">
      <c r="A647" s="22" t="s">
        <v>231</v>
      </c>
      <c r="B647" s="22">
        <f t="shared" ref="B647" si="376">QUOTIENT( D647-1,G648)+1</f>
        <v>3</v>
      </c>
      <c r="C647" s="22">
        <f t="shared" ref="C647" si="377">D647-(B647-1)*G648</f>
        <v>15</v>
      </c>
      <c r="D647" s="22">
        <f>COUNT($D$74:$D646)+1</f>
        <v>45</v>
      </c>
      <c r="F647" s="9" t="s">
        <v>231</v>
      </c>
      <c r="K647" s="9" t="s">
        <v>231</v>
      </c>
      <c r="L647" s="9" t="s">
        <v>231</v>
      </c>
      <c r="M647" s="9" t="s">
        <v>231</v>
      </c>
      <c r="N647" s="9" t="s">
        <v>231</v>
      </c>
    </row>
    <row r="648" spans="1:15">
      <c r="E648" s="9">
        <f t="shared" ref="E648:E659" si="378">ROW(E648)</f>
        <v>648</v>
      </c>
      <c r="F648" s="9" t="s">
        <v>95</v>
      </c>
      <c r="G648" s="23">
        <v>15</v>
      </c>
      <c r="H648" s="23">
        <v>4</v>
      </c>
      <c r="J648" s="23">
        <v>13400</v>
      </c>
      <c r="K648" s="9" t="s">
        <v>231</v>
      </c>
      <c r="L648" s="9" t="s">
        <v>231</v>
      </c>
      <c r="M648" s="9" t="s">
        <v>231</v>
      </c>
      <c r="N648" s="9" t="s">
        <v>231</v>
      </c>
      <c r="O648" s="23">
        <f t="shared" ref="O648" si="379">J648+D647</f>
        <v>13445</v>
      </c>
    </row>
    <row r="649" spans="1:15">
      <c r="E649" s="9">
        <f t="shared" si="378"/>
        <v>649</v>
      </c>
      <c r="F649" s="9" t="s">
        <v>145</v>
      </c>
      <c r="G649" s="23">
        <v>13301</v>
      </c>
      <c r="H649" s="23">
        <v>13302</v>
      </c>
      <c r="I649" s="23">
        <v>13303</v>
      </c>
      <c r="J649" s="23">
        <v>13304</v>
      </c>
      <c r="K649" s="9" t="s">
        <v>231</v>
      </c>
      <c r="L649" s="9" t="s">
        <v>231</v>
      </c>
      <c r="M649" s="9" t="s">
        <v>231</v>
      </c>
      <c r="N649" s="9" t="s">
        <v>231</v>
      </c>
      <c r="O649" s="23" cm="1">
        <f t="array" ref="O649">_xlfn.SWITCH(B647,1,G649,2,H649,3,I649,4,J649)</f>
        <v>13303</v>
      </c>
    </row>
    <row r="650" spans="1:15">
      <c r="E650" s="9">
        <f t="shared" si="378"/>
        <v>650</v>
      </c>
      <c r="F650" s="9" t="s">
        <v>128</v>
      </c>
      <c r="K650" s="9" t="s">
        <v>231</v>
      </c>
      <c r="L650" s="9" t="s">
        <v>231</v>
      </c>
      <c r="M650" s="9" t="s">
        <v>231</v>
      </c>
      <c r="N650" s="9" t="s">
        <v>231</v>
      </c>
      <c r="O650" s="23">
        <v>0</v>
      </c>
    </row>
    <row r="651" spans="1:15">
      <c r="E651" s="9">
        <f t="shared" si="378"/>
        <v>651</v>
      </c>
      <c r="F651" s="9" t="s">
        <v>200</v>
      </c>
      <c r="K651" s="9" t="s">
        <v>231</v>
      </c>
      <c r="L651" s="9" t="s">
        <v>231</v>
      </c>
      <c r="M651" s="9" t="s">
        <v>231</v>
      </c>
      <c r="N651" s="9" t="s">
        <v>231</v>
      </c>
      <c r="O651" s="23">
        <v>60</v>
      </c>
    </row>
    <row r="652" spans="1:15">
      <c r="E652" s="9">
        <f t="shared" si="378"/>
        <v>652</v>
      </c>
      <c r="F652" s="9" t="s">
        <v>29</v>
      </c>
      <c r="O652" s="23" t="s">
        <v>147</v>
      </c>
    </row>
    <row r="653" spans="1:15">
      <c r="E653" s="9">
        <f t="shared" si="378"/>
        <v>653</v>
      </c>
      <c r="F653" s="9" t="s">
        <v>118</v>
      </c>
      <c r="K653" s="9" t="s">
        <v>139</v>
      </c>
      <c r="O653" s="23">
        <v>2</v>
      </c>
    </row>
    <row r="654" spans="1:15">
      <c r="E654" s="9">
        <f t="shared" si="378"/>
        <v>654</v>
      </c>
      <c r="F654" s="9" t="s">
        <v>120</v>
      </c>
      <c r="G654" s="23" t="b">
        <f t="shared" ref="G654" si="380">MOD(B647,2)=0</f>
        <v>0</v>
      </c>
      <c r="H654" s="23" t="s">
        <v>146</v>
      </c>
      <c r="I654" s="23" t="s">
        <v>244</v>
      </c>
      <c r="O654" s="23" t="str">
        <f t="shared" ref="O654" si="381">IF(G654,H654,I654)</f>
        <v>Shot5_red</v>
      </c>
    </row>
    <row r="655" spans="1:15">
      <c r="E655" s="9">
        <f t="shared" si="378"/>
        <v>655</v>
      </c>
      <c r="F655" s="9" t="s">
        <v>30</v>
      </c>
      <c r="H655" s="23">
        <v>1.5</v>
      </c>
      <c r="I655" s="23">
        <v>1</v>
      </c>
      <c r="O655" s="23">
        <f t="shared" ref="O655" si="382">IF(B647&lt;=2,H655,I655)</f>
        <v>1</v>
      </c>
    </row>
    <row r="656" spans="1:15">
      <c r="E656" s="9">
        <f t="shared" si="378"/>
        <v>656</v>
      </c>
      <c r="F656" s="9" t="s">
        <v>31</v>
      </c>
      <c r="G656" s="23">
        <v>360</v>
      </c>
      <c r="L656" s="9" t="s">
        <v>136</v>
      </c>
      <c r="O656" s="23">
        <f t="shared" ref="O656" si="383">G656/G648*C647</f>
        <v>360</v>
      </c>
    </row>
    <row r="657" spans="1:15">
      <c r="E657" s="9">
        <f t="shared" si="378"/>
        <v>657</v>
      </c>
      <c r="F657" s="9" t="s">
        <v>100</v>
      </c>
      <c r="K657" s="9" t="s">
        <v>139</v>
      </c>
      <c r="O657" s="23">
        <v>2</v>
      </c>
    </row>
    <row r="658" spans="1:15">
      <c r="E658" s="9">
        <f t="shared" si="378"/>
        <v>658</v>
      </c>
      <c r="F658" s="9" t="s">
        <v>127</v>
      </c>
      <c r="O658" s="23">
        <v>1000</v>
      </c>
    </row>
    <row r="659" spans="1:15">
      <c r="E659" s="9">
        <f t="shared" si="378"/>
        <v>659</v>
      </c>
      <c r="F659" s="9" t="s">
        <v>99</v>
      </c>
      <c r="O659" s="23">
        <v>1200</v>
      </c>
    </row>
    <row r="660" spans="1:15">
      <c r="A660" s="22" t="s">
        <v>231</v>
      </c>
      <c r="B660" s="22">
        <f t="shared" ref="B660" si="384">QUOTIENT( D660-1,G661)+1</f>
        <v>4</v>
      </c>
      <c r="C660" s="22">
        <f t="shared" ref="C660" si="385">D660-(B660-1)*G661</f>
        <v>1</v>
      </c>
      <c r="D660" s="22">
        <f>COUNT($D$74:$D659)+1</f>
        <v>46</v>
      </c>
      <c r="F660" s="9" t="s">
        <v>231</v>
      </c>
      <c r="K660" s="9" t="s">
        <v>231</v>
      </c>
      <c r="L660" s="9" t="s">
        <v>231</v>
      </c>
      <c r="M660" s="9" t="s">
        <v>231</v>
      </c>
      <c r="N660" s="9" t="s">
        <v>231</v>
      </c>
    </row>
    <row r="661" spans="1:15">
      <c r="E661" s="9">
        <f t="shared" ref="E661:E672" si="386">ROW(E661)</f>
        <v>661</v>
      </c>
      <c r="F661" s="9" t="s">
        <v>95</v>
      </c>
      <c r="G661" s="23">
        <v>15</v>
      </c>
      <c r="H661" s="23">
        <v>4</v>
      </c>
      <c r="J661" s="23">
        <v>13400</v>
      </c>
      <c r="K661" s="9" t="s">
        <v>231</v>
      </c>
      <c r="L661" s="9" t="s">
        <v>231</v>
      </c>
      <c r="M661" s="9" t="s">
        <v>231</v>
      </c>
      <c r="N661" s="9" t="s">
        <v>231</v>
      </c>
      <c r="O661" s="23">
        <f t="shared" ref="O661" si="387">J661+D660</f>
        <v>13446</v>
      </c>
    </row>
    <row r="662" spans="1:15">
      <c r="E662" s="9">
        <f t="shared" si="386"/>
        <v>662</v>
      </c>
      <c r="F662" s="9" t="s">
        <v>145</v>
      </c>
      <c r="G662" s="23">
        <v>13301</v>
      </c>
      <c r="H662" s="23">
        <v>13302</v>
      </c>
      <c r="I662" s="23">
        <v>13303</v>
      </c>
      <c r="J662" s="23">
        <v>13304</v>
      </c>
      <c r="K662" s="9" t="s">
        <v>231</v>
      </c>
      <c r="L662" s="9" t="s">
        <v>231</v>
      </c>
      <c r="M662" s="9" t="s">
        <v>231</v>
      </c>
      <c r="N662" s="9" t="s">
        <v>231</v>
      </c>
      <c r="O662" s="23" cm="1">
        <f t="array" ref="O662">_xlfn.SWITCH(B660,1,G662,2,H662,3,I662,4,J662)</f>
        <v>13304</v>
      </c>
    </row>
    <row r="663" spans="1:15">
      <c r="E663" s="9">
        <f t="shared" si="386"/>
        <v>663</v>
      </c>
      <c r="F663" s="9" t="s">
        <v>128</v>
      </c>
      <c r="K663" s="9" t="s">
        <v>231</v>
      </c>
      <c r="L663" s="9" t="s">
        <v>231</v>
      </c>
      <c r="M663" s="9" t="s">
        <v>231</v>
      </c>
      <c r="N663" s="9" t="s">
        <v>231</v>
      </c>
      <c r="O663" s="23">
        <v>0</v>
      </c>
    </row>
    <row r="664" spans="1:15">
      <c r="E664" s="9">
        <f t="shared" si="386"/>
        <v>664</v>
      </c>
      <c r="F664" s="9" t="s">
        <v>200</v>
      </c>
      <c r="K664" s="9" t="s">
        <v>231</v>
      </c>
      <c r="L664" s="9" t="s">
        <v>231</v>
      </c>
      <c r="M664" s="9" t="s">
        <v>231</v>
      </c>
      <c r="N664" s="9" t="s">
        <v>231</v>
      </c>
      <c r="O664" s="23">
        <v>60</v>
      </c>
    </row>
    <row r="665" spans="1:15">
      <c r="E665" s="9">
        <f t="shared" si="386"/>
        <v>665</v>
      </c>
      <c r="F665" s="9" t="s">
        <v>29</v>
      </c>
      <c r="O665" s="23" t="s">
        <v>147</v>
      </c>
    </row>
    <row r="666" spans="1:15">
      <c r="E666" s="9">
        <f t="shared" si="386"/>
        <v>666</v>
      </c>
      <c r="F666" s="9" t="s">
        <v>118</v>
      </c>
      <c r="K666" s="9" t="s">
        <v>139</v>
      </c>
      <c r="O666" s="23">
        <v>2</v>
      </c>
    </row>
    <row r="667" spans="1:15">
      <c r="E667" s="9">
        <f t="shared" si="386"/>
        <v>667</v>
      </c>
      <c r="F667" s="9" t="s">
        <v>120</v>
      </c>
      <c r="G667" s="23" t="b">
        <f t="shared" ref="G667" si="388">MOD(B660,2)=0</f>
        <v>1</v>
      </c>
      <c r="H667" s="23" t="s">
        <v>146</v>
      </c>
      <c r="I667" s="23" t="s">
        <v>244</v>
      </c>
      <c r="O667" s="23" t="str">
        <f t="shared" ref="O667" si="389">IF(G667,H667,I667)</f>
        <v>Shot5_yellow</v>
      </c>
    </row>
    <row r="668" spans="1:15">
      <c r="E668" s="9">
        <f t="shared" si="386"/>
        <v>668</v>
      </c>
      <c r="F668" s="9" t="s">
        <v>30</v>
      </c>
      <c r="H668" s="23">
        <v>1.5</v>
      </c>
      <c r="I668" s="23">
        <v>1</v>
      </c>
      <c r="O668" s="23">
        <f t="shared" ref="O668" si="390">IF(B660&lt;=2,H668,I668)</f>
        <v>1</v>
      </c>
    </row>
    <row r="669" spans="1:15">
      <c r="E669" s="9">
        <f t="shared" si="386"/>
        <v>669</v>
      </c>
      <c r="F669" s="9" t="s">
        <v>31</v>
      </c>
      <c r="G669" s="23">
        <v>360</v>
      </c>
      <c r="L669" s="9" t="s">
        <v>136</v>
      </c>
      <c r="O669" s="23">
        <f t="shared" ref="O669" si="391">G669/G661*C660</f>
        <v>24</v>
      </c>
    </row>
    <row r="670" spans="1:15">
      <c r="E670" s="9">
        <f t="shared" si="386"/>
        <v>670</v>
      </c>
      <c r="F670" s="9" t="s">
        <v>100</v>
      </c>
      <c r="K670" s="9" t="s">
        <v>139</v>
      </c>
      <c r="O670" s="23">
        <v>2</v>
      </c>
    </row>
    <row r="671" spans="1:15">
      <c r="E671" s="9">
        <f t="shared" si="386"/>
        <v>671</v>
      </c>
      <c r="F671" s="9" t="s">
        <v>127</v>
      </c>
      <c r="O671" s="23">
        <v>1000</v>
      </c>
    </row>
    <row r="672" spans="1:15">
      <c r="E672" s="9">
        <f t="shared" si="386"/>
        <v>672</v>
      </c>
      <c r="F672" s="9" t="s">
        <v>99</v>
      </c>
      <c r="O672" s="23">
        <v>1200</v>
      </c>
    </row>
    <row r="673" spans="1:15">
      <c r="A673" s="22" t="s">
        <v>231</v>
      </c>
      <c r="B673" s="22">
        <f t="shared" ref="B673" si="392">QUOTIENT( D673-1,G674)+1</f>
        <v>4</v>
      </c>
      <c r="C673" s="22">
        <f t="shared" ref="C673" si="393">D673-(B673-1)*G674</f>
        <v>2</v>
      </c>
      <c r="D673" s="22">
        <f>COUNT($D$74:$D672)+1</f>
        <v>47</v>
      </c>
      <c r="F673" s="9" t="s">
        <v>231</v>
      </c>
      <c r="K673" s="9" t="s">
        <v>231</v>
      </c>
      <c r="L673" s="9" t="s">
        <v>231</v>
      </c>
      <c r="M673" s="9" t="s">
        <v>231</v>
      </c>
      <c r="N673" s="9" t="s">
        <v>231</v>
      </c>
    </row>
    <row r="674" spans="1:15">
      <c r="E674" s="9">
        <f t="shared" ref="E674:E685" si="394">ROW(E674)</f>
        <v>674</v>
      </c>
      <c r="F674" s="9" t="s">
        <v>95</v>
      </c>
      <c r="G674" s="23">
        <v>15</v>
      </c>
      <c r="H674" s="23">
        <v>4</v>
      </c>
      <c r="J674" s="23">
        <v>13400</v>
      </c>
      <c r="K674" s="9" t="s">
        <v>231</v>
      </c>
      <c r="L674" s="9" t="s">
        <v>231</v>
      </c>
      <c r="M674" s="9" t="s">
        <v>231</v>
      </c>
      <c r="N674" s="9" t="s">
        <v>231</v>
      </c>
      <c r="O674" s="23">
        <f t="shared" ref="O674" si="395">J674+D673</f>
        <v>13447</v>
      </c>
    </row>
    <row r="675" spans="1:15">
      <c r="E675" s="9">
        <f t="shared" si="394"/>
        <v>675</v>
      </c>
      <c r="F675" s="9" t="s">
        <v>145</v>
      </c>
      <c r="G675" s="23">
        <v>13301</v>
      </c>
      <c r="H675" s="23">
        <v>13302</v>
      </c>
      <c r="I675" s="23">
        <v>13303</v>
      </c>
      <c r="J675" s="23">
        <v>13304</v>
      </c>
      <c r="K675" s="9" t="s">
        <v>231</v>
      </c>
      <c r="L675" s="9" t="s">
        <v>231</v>
      </c>
      <c r="M675" s="9" t="s">
        <v>231</v>
      </c>
      <c r="N675" s="9" t="s">
        <v>231</v>
      </c>
      <c r="O675" s="23" cm="1">
        <f t="array" ref="O675">_xlfn.SWITCH(B673,1,G675,2,H675,3,I675,4,J675)</f>
        <v>13304</v>
      </c>
    </row>
    <row r="676" spans="1:15">
      <c r="E676" s="9">
        <f t="shared" si="394"/>
        <v>676</v>
      </c>
      <c r="F676" s="9" t="s">
        <v>128</v>
      </c>
      <c r="K676" s="9" t="s">
        <v>231</v>
      </c>
      <c r="L676" s="9" t="s">
        <v>231</v>
      </c>
      <c r="M676" s="9" t="s">
        <v>231</v>
      </c>
      <c r="N676" s="9" t="s">
        <v>231</v>
      </c>
      <c r="O676" s="23">
        <v>0</v>
      </c>
    </row>
    <row r="677" spans="1:15">
      <c r="E677" s="9">
        <f t="shared" si="394"/>
        <v>677</v>
      </c>
      <c r="F677" s="9" t="s">
        <v>200</v>
      </c>
      <c r="K677" s="9" t="s">
        <v>231</v>
      </c>
      <c r="L677" s="9" t="s">
        <v>231</v>
      </c>
      <c r="M677" s="9" t="s">
        <v>231</v>
      </c>
      <c r="N677" s="9" t="s">
        <v>231</v>
      </c>
      <c r="O677" s="23">
        <v>60</v>
      </c>
    </row>
    <row r="678" spans="1:15">
      <c r="E678" s="9">
        <f t="shared" si="394"/>
        <v>678</v>
      </c>
      <c r="F678" s="9" t="s">
        <v>29</v>
      </c>
      <c r="O678" s="23" t="s">
        <v>147</v>
      </c>
    </row>
    <row r="679" spans="1:15">
      <c r="E679" s="9">
        <f t="shared" si="394"/>
        <v>679</v>
      </c>
      <c r="F679" s="9" t="s">
        <v>118</v>
      </c>
      <c r="K679" s="9" t="s">
        <v>139</v>
      </c>
      <c r="O679" s="23">
        <v>2</v>
      </c>
    </row>
    <row r="680" spans="1:15">
      <c r="E680" s="9">
        <f t="shared" si="394"/>
        <v>680</v>
      </c>
      <c r="F680" s="9" t="s">
        <v>120</v>
      </c>
      <c r="G680" s="23" t="b">
        <f t="shared" ref="G680" si="396">MOD(B673,2)=0</f>
        <v>1</v>
      </c>
      <c r="H680" s="23" t="s">
        <v>146</v>
      </c>
      <c r="I680" s="23" t="s">
        <v>244</v>
      </c>
      <c r="O680" s="23" t="str">
        <f t="shared" ref="O680" si="397">IF(G680,H680,I680)</f>
        <v>Shot5_yellow</v>
      </c>
    </row>
    <row r="681" spans="1:15">
      <c r="E681" s="9">
        <f t="shared" si="394"/>
        <v>681</v>
      </c>
      <c r="F681" s="9" t="s">
        <v>30</v>
      </c>
      <c r="H681" s="23">
        <v>1.5</v>
      </c>
      <c r="I681" s="23">
        <v>1</v>
      </c>
      <c r="O681" s="23">
        <f t="shared" ref="O681" si="398">IF(B673&lt;=2,H681,I681)</f>
        <v>1</v>
      </c>
    </row>
    <row r="682" spans="1:15">
      <c r="E682" s="9">
        <f t="shared" si="394"/>
        <v>682</v>
      </c>
      <c r="F682" s="9" t="s">
        <v>31</v>
      </c>
      <c r="G682" s="23">
        <v>360</v>
      </c>
      <c r="L682" s="9" t="s">
        <v>136</v>
      </c>
      <c r="O682" s="23">
        <f t="shared" ref="O682" si="399">G682/G674*C673</f>
        <v>48</v>
      </c>
    </row>
    <row r="683" spans="1:15">
      <c r="E683" s="9">
        <f t="shared" si="394"/>
        <v>683</v>
      </c>
      <c r="F683" s="9" t="s">
        <v>100</v>
      </c>
      <c r="K683" s="9" t="s">
        <v>139</v>
      </c>
      <c r="O683" s="23">
        <v>2</v>
      </c>
    </row>
    <row r="684" spans="1:15">
      <c r="E684" s="9">
        <f t="shared" si="394"/>
        <v>684</v>
      </c>
      <c r="F684" s="9" t="s">
        <v>127</v>
      </c>
      <c r="O684" s="23">
        <v>1000</v>
      </c>
    </row>
    <row r="685" spans="1:15">
      <c r="E685" s="9">
        <f t="shared" si="394"/>
        <v>685</v>
      </c>
      <c r="F685" s="9" t="s">
        <v>99</v>
      </c>
      <c r="O685" s="23">
        <v>1200</v>
      </c>
    </row>
    <row r="686" spans="1:15">
      <c r="A686" s="22" t="s">
        <v>231</v>
      </c>
      <c r="B686" s="22">
        <f t="shared" ref="B686" si="400">QUOTIENT( D686-1,G687)+1</f>
        <v>4</v>
      </c>
      <c r="C686" s="22">
        <f t="shared" ref="C686" si="401">D686-(B686-1)*G687</f>
        <v>3</v>
      </c>
      <c r="D686" s="22">
        <f>COUNT($D$74:$D685)+1</f>
        <v>48</v>
      </c>
      <c r="F686" s="9" t="s">
        <v>231</v>
      </c>
      <c r="K686" s="9" t="s">
        <v>231</v>
      </c>
      <c r="L686" s="9" t="s">
        <v>231</v>
      </c>
      <c r="M686" s="9" t="s">
        <v>231</v>
      </c>
      <c r="N686" s="9" t="s">
        <v>231</v>
      </c>
    </row>
    <row r="687" spans="1:15">
      <c r="E687" s="9">
        <f t="shared" ref="E687:E698" si="402">ROW(E687)</f>
        <v>687</v>
      </c>
      <c r="F687" s="9" t="s">
        <v>95</v>
      </c>
      <c r="G687" s="23">
        <v>15</v>
      </c>
      <c r="H687" s="23">
        <v>4</v>
      </c>
      <c r="J687" s="23">
        <v>13400</v>
      </c>
      <c r="K687" s="9" t="s">
        <v>231</v>
      </c>
      <c r="L687" s="9" t="s">
        <v>231</v>
      </c>
      <c r="M687" s="9" t="s">
        <v>231</v>
      </c>
      <c r="N687" s="9" t="s">
        <v>231</v>
      </c>
      <c r="O687" s="23">
        <f t="shared" ref="O687" si="403">J687+D686</f>
        <v>13448</v>
      </c>
    </row>
    <row r="688" spans="1:15">
      <c r="E688" s="9">
        <f t="shared" si="402"/>
        <v>688</v>
      </c>
      <c r="F688" s="9" t="s">
        <v>145</v>
      </c>
      <c r="G688" s="23">
        <v>13301</v>
      </c>
      <c r="H688" s="23">
        <v>13302</v>
      </c>
      <c r="I688" s="23">
        <v>13303</v>
      </c>
      <c r="J688" s="23">
        <v>13304</v>
      </c>
      <c r="K688" s="9" t="s">
        <v>231</v>
      </c>
      <c r="L688" s="9" t="s">
        <v>231</v>
      </c>
      <c r="M688" s="9" t="s">
        <v>231</v>
      </c>
      <c r="N688" s="9" t="s">
        <v>231</v>
      </c>
      <c r="O688" s="23" cm="1">
        <f t="array" ref="O688">_xlfn.SWITCH(B686,1,G688,2,H688,3,I688,4,J688)</f>
        <v>13304</v>
      </c>
    </row>
    <row r="689" spans="1:15">
      <c r="E689" s="9">
        <f t="shared" si="402"/>
        <v>689</v>
      </c>
      <c r="F689" s="9" t="s">
        <v>128</v>
      </c>
      <c r="K689" s="9" t="s">
        <v>231</v>
      </c>
      <c r="L689" s="9" t="s">
        <v>231</v>
      </c>
      <c r="M689" s="9" t="s">
        <v>231</v>
      </c>
      <c r="N689" s="9" t="s">
        <v>231</v>
      </c>
      <c r="O689" s="23">
        <v>0</v>
      </c>
    </row>
    <row r="690" spans="1:15">
      <c r="E690" s="9">
        <f t="shared" si="402"/>
        <v>690</v>
      </c>
      <c r="F690" s="9" t="s">
        <v>200</v>
      </c>
      <c r="K690" s="9" t="s">
        <v>231</v>
      </c>
      <c r="L690" s="9" t="s">
        <v>231</v>
      </c>
      <c r="M690" s="9" t="s">
        <v>231</v>
      </c>
      <c r="N690" s="9" t="s">
        <v>231</v>
      </c>
      <c r="O690" s="23">
        <v>60</v>
      </c>
    </row>
    <row r="691" spans="1:15">
      <c r="E691" s="9">
        <f t="shared" si="402"/>
        <v>691</v>
      </c>
      <c r="F691" s="9" t="s">
        <v>29</v>
      </c>
      <c r="O691" s="23" t="s">
        <v>147</v>
      </c>
    </row>
    <row r="692" spans="1:15">
      <c r="E692" s="9">
        <f t="shared" si="402"/>
        <v>692</v>
      </c>
      <c r="F692" s="9" t="s">
        <v>118</v>
      </c>
      <c r="K692" s="9" t="s">
        <v>139</v>
      </c>
      <c r="O692" s="23">
        <v>2</v>
      </c>
    </row>
    <row r="693" spans="1:15">
      <c r="E693" s="9">
        <f t="shared" si="402"/>
        <v>693</v>
      </c>
      <c r="F693" s="9" t="s">
        <v>120</v>
      </c>
      <c r="G693" s="23" t="b">
        <f t="shared" ref="G693" si="404">MOD(B686,2)=0</f>
        <v>1</v>
      </c>
      <c r="H693" s="23" t="s">
        <v>146</v>
      </c>
      <c r="I693" s="23" t="s">
        <v>244</v>
      </c>
      <c r="O693" s="23" t="str">
        <f t="shared" ref="O693" si="405">IF(G693,H693,I693)</f>
        <v>Shot5_yellow</v>
      </c>
    </row>
    <row r="694" spans="1:15">
      <c r="E694" s="9">
        <f t="shared" si="402"/>
        <v>694</v>
      </c>
      <c r="F694" s="9" t="s">
        <v>30</v>
      </c>
      <c r="H694" s="23">
        <v>1.5</v>
      </c>
      <c r="I694" s="23">
        <v>1</v>
      </c>
      <c r="O694" s="23">
        <f t="shared" ref="O694" si="406">IF(B686&lt;=2,H694,I694)</f>
        <v>1</v>
      </c>
    </row>
    <row r="695" spans="1:15">
      <c r="E695" s="9">
        <f t="shared" si="402"/>
        <v>695</v>
      </c>
      <c r="F695" s="9" t="s">
        <v>31</v>
      </c>
      <c r="G695" s="23">
        <v>360</v>
      </c>
      <c r="L695" s="9" t="s">
        <v>136</v>
      </c>
      <c r="O695" s="23">
        <f t="shared" ref="O695" si="407">G695/G687*C686</f>
        <v>72</v>
      </c>
    </row>
    <row r="696" spans="1:15">
      <c r="E696" s="9">
        <f t="shared" si="402"/>
        <v>696</v>
      </c>
      <c r="F696" s="9" t="s">
        <v>100</v>
      </c>
      <c r="K696" s="9" t="s">
        <v>139</v>
      </c>
      <c r="O696" s="23">
        <v>2</v>
      </c>
    </row>
    <row r="697" spans="1:15">
      <c r="E697" s="9">
        <f t="shared" si="402"/>
        <v>697</v>
      </c>
      <c r="F697" s="9" t="s">
        <v>127</v>
      </c>
      <c r="O697" s="23">
        <v>1000</v>
      </c>
    </row>
    <row r="698" spans="1:15">
      <c r="E698" s="9">
        <f t="shared" si="402"/>
        <v>698</v>
      </c>
      <c r="F698" s="9" t="s">
        <v>99</v>
      </c>
      <c r="O698" s="23">
        <v>1200</v>
      </c>
    </row>
    <row r="699" spans="1:15">
      <c r="A699" s="22" t="s">
        <v>231</v>
      </c>
      <c r="B699" s="22">
        <f t="shared" ref="B699" si="408">QUOTIENT( D699-1,G700)+1</f>
        <v>4</v>
      </c>
      <c r="C699" s="22">
        <f t="shared" ref="C699" si="409">D699-(B699-1)*G700</f>
        <v>4</v>
      </c>
      <c r="D699" s="22">
        <f>COUNT($D$74:$D698)+1</f>
        <v>49</v>
      </c>
      <c r="F699" s="9" t="s">
        <v>231</v>
      </c>
      <c r="K699" s="9" t="s">
        <v>231</v>
      </c>
      <c r="L699" s="9" t="s">
        <v>231</v>
      </c>
      <c r="M699" s="9" t="s">
        <v>231</v>
      </c>
      <c r="N699" s="9" t="s">
        <v>231</v>
      </c>
    </row>
    <row r="700" spans="1:15">
      <c r="E700" s="9">
        <f t="shared" ref="E700:E711" si="410">ROW(E700)</f>
        <v>700</v>
      </c>
      <c r="F700" s="9" t="s">
        <v>95</v>
      </c>
      <c r="G700" s="23">
        <v>15</v>
      </c>
      <c r="H700" s="23">
        <v>4</v>
      </c>
      <c r="J700" s="23">
        <v>13400</v>
      </c>
      <c r="K700" s="9" t="s">
        <v>231</v>
      </c>
      <c r="L700" s="9" t="s">
        <v>231</v>
      </c>
      <c r="M700" s="9" t="s">
        <v>231</v>
      </c>
      <c r="N700" s="9" t="s">
        <v>231</v>
      </c>
      <c r="O700" s="23">
        <f t="shared" ref="O700" si="411">J700+D699</f>
        <v>13449</v>
      </c>
    </row>
    <row r="701" spans="1:15">
      <c r="E701" s="9">
        <f t="shared" si="410"/>
        <v>701</v>
      </c>
      <c r="F701" s="9" t="s">
        <v>145</v>
      </c>
      <c r="G701" s="23">
        <v>13301</v>
      </c>
      <c r="H701" s="23">
        <v>13302</v>
      </c>
      <c r="I701" s="23">
        <v>13303</v>
      </c>
      <c r="J701" s="23">
        <v>13304</v>
      </c>
      <c r="K701" s="9" t="s">
        <v>231</v>
      </c>
      <c r="L701" s="9" t="s">
        <v>231</v>
      </c>
      <c r="M701" s="9" t="s">
        <v>231</v>
      </c>
      <c r="N701" s="9" t="s">
        <v>231</v>
      </c>
      <c r="O701" s="23" cm="1">
        <f t="array" ref="O701">_xlfn.SWITCH(B699,1,G701,2,H701,3,I701,4,J701)</f>
        <v>13304</v>
      </c>
    </row>
    <row r="702" spans="1:15">
      <c r="E702" s="9">
        <f t="shared" si="410"/>
        <v>702</v>
      </c>
      <c r="F702" s="9" t="s">
        <v>128</v>
      </c>
      <c r="K702" s="9" t="s">
        <v>231</v>
      </c>
      <c r="L702" s="9" t="s">
        <v>231</v>
      </c>
      <c r="M702" s="9" t="s">
        <v>231</v>
      </c>
      <c r="N702" s="9" t="s">
        <v>231</v>
      </c>
      <c r="O702" s="23">
        <v>0</v>
      </c>
    </row>
    <row r="703" spans="1:15">
      <c r="E703" s="9">
        <f t="shared" si="410"/>
        <v>703</v>
      </c>
      <c r="F703" s="9" t="s">
        <v>200</v>
      </c>
      <c r="K703" s="9" t="s">
        <v>231</v>
      </c>
      <c r="L703" s="9" t="s">
        <v>231</v>
      </c>
      <c r="M703" s="9" t="s">
        <v>231</v>
      </c>
      <c r="N703" s="9" t="s">
        <v>231</v>
      </c>
      <c r="O703" s="23">
        <v>60</v>
      </c>
    </row>
    <row r="704" spans="1:15">
      <c r="E704" s="9">
        <f t="shared" si="410"/>
        <v>704</v>
      </c>
      <c r="F704" s="9" t="s">
        <v>29</v>
      </c>
      <c r="O704" s="23" t="s">
        <v>147</v>
      </c>
    </row>
    <row r="705" spans="1:15">
      <c r="E705" s="9">
        <f t="shared" si="410"/>
        <v>705</v>
      </c>
      <c r="F705" s="9" t="s">
        <v>118</v>
      </c>
      <c r="K705" s="9" t="s">
        <v>139</v>
      </c>
      <c r="O705" s="23">
        <v>2</v>
      </c>
    </row>
    <row r="706" spans="1:15">
      <c r="E706" s="9">
        <f t="shared" si="410"/>
        <v>706</v>
      </c>
      <c r="F706" s="9" t="s">
        <v>120</v>
      </c>
      <c r="G706" s="23" t="b">
        <f t="shared" ref="G706" si="412">MOD(B699,2)=0</f>
        <v>1</v>
      </c>
      <c r="H706" s="23" t="s">
        <v>146</v>
      </c>
      <c r="I706" s="23" t="s">
        <v>244</v>
      </c>
      <c r="O706" s="23" t="str">
        <f t="shared" ref="O706" si="413">IF(G706,H706,I706)</f>
        <v>Shot5_yellow</v>
      </c>
    </row>
    <row r="707" spans="1:15">
      <c r="E707" s="9">
        <f t="shared" si="410"/>
        <v>707</v>
      </c>
      <c r="F707" s="9" t="s">
        <v>30</v>
      </c>
      <c r="H707" s="23">
        <v>1.5</v>
      </c>
      <c r="I707" s="23">
        <v>1</v>
      </c>
      <c r="O707" s="23">
        <f t="shared" ref="O707" si="414">IF(B699&lt;=2,H707,I707)</f>
        <v>1</v>
      </c>
    </row>
    <row r="708" spans="1:15">
      <c r="E708" s="9">
        <f t="shared" si="410"/>
        <v>708</v>
      </c>
      <c r="F708" s="9" t="s">
        <v>31</v>
      </c>
      <c r="G708" s="23">
        <v>360</v>
      </c>
      <c r="L708" s="9" t="s">
        <v>136</v>
      </c>
      <c r="O708" s="23">
        <f t="shared" ref="O708" si="415">G708/G700*C699</f>
        <v>96</v>
      </c>
    </row>
    <row r="709" spans="1:15">
      <c r="E709" s="9">
        <f t="shared" si="410"/>
        <v>709</v>
      </c>
      <c r="F709" s="9" t="s">
        <v>100</v>
      </c>
      <c r="K709" s="9" t="s">
        <v>139</v>
      </c>
      <c r="O709" s="23">
        <v>2</v>
      </c>
    </row>
    <row r="710" spans="1:15">
      <c r="E710" s="9">
        <f t="shared" si="410"/>
        <v>710</v>
      </c>
      <c r="F710" s="9" t="s">
        <v>127</v>
      </c>
      <c r="O710" s="23">
        <v>1000</v>
      </c>
    </row>
    <row r="711" spans="1:15">
      <c r="E711" s="9">
        <f t="shared" si="410"/>
        <v>711</v>
      </c>
      <c r="F711" s="9" t="s">
        <v>99</v>
      </c>
      <c r="O711" s="23">
        <v>1200</v>
      </c>
    </row>
    <row r="712" spans="1:15">
      <c r="A712" s="22" t="s">
        <v>231</v>
      </c>
      <c r="B712" s="22">
        <f t="shared" ref="B712" si="416">QUOTIENT( D712-1,G713)+1</f>
        <v>4</v>
      </c>
      <c r="C712" s="22">
        <f t="shared" ref="C712" si="417">D712-(B712-1)*G713</f>
        <v>5</v>
      </c>
      <c r="D712" s="22">
        <f>COUNT($D$74:$D711)+1</f>
        <v>50</v>
      </c>
      <c r="F712" s="9" t="s">
        <v>231</v>
      </c>
      <c r="K712" s="9" t="s">
        <v>231</v>
      </c>
      <c r="L712" s="9" t="s">
        <v>231</v>
      </c>
      <c r="M712" s="9" t="s">
        <v>231</v>
      </c>
      <c r="N712" s="9" t="s">
        <v>231</v>
      </c>
    </row>
    <row r="713" spans="1:15">
      <c r="E713" s="9">
        <f t="shared" ref="E713:E724" si="418">ROW(E713)</f>
        <v>713</v>
      </c>
      <c r="F713" s="9" t="s">
        <v>95</v>
      </c>
      <c r="G713" s="23">
        <v>15</v>
      </c>
      <c r="H713" s="23">
        <v>4</v>
      </c>
      <c r="J713" s="23">
        <v>13400</v>
      </c>
      <c r="K713" s="9" t="s">
        <v>231</v>
      </c>
      <c r="L713" s="9" t="s">
        <v>231</v>
      </c>
      <c r="M713" s="9" t="s">
        <v>231</v>
      </c>
      <c r="N713" s="9" t="s">
        <v>231</v>
      </c>
      <c r="O713" s="23">
        <f t="shared" ref="O713" si="419">J713+D712</f>
        <v>13450</v>
      </c>
    </row>
    <row r="714" spans="1:15">
      <c r="E714" s="9">
        <f t="shared" si="418"/>
        <v>714</v>
      </c>
      <c r="F714" s="9" t="s">
        <v>145</v>
      </c>
      <c r="G714" s="23">
        <v>13301</v>
      </c>
      <c r="H714" s="23">
        <v>13302</v>
      </c>
      <c r="I714" s="23">
        <v>13303</v>
      </c>
      <c r="J714" s="23">
        <v>13304</v>
      </c>
      <c r="K714" s="9" t="s">
        <v>231</v>
      </c>
      <c r="L714" s="9" t="s">
        <v>231</v>
      </c>
      <c r="M714" s="9" t="s">
        <v>231</v>
      </c>
      <c r="N714" s="9" t="s">
        <v>231</v>
      </c>
      <c r="O714" s="23" cm="1">
        <f t="array" ref="O714">_xlfn.SWITCH(B712,1,G714,2,H714,3,I714,4,J714)</f>
        <v>13304</v>
      </c>
    </row>
    <row r="715" spans="1:15">
      <c r="E715" s="9">
        <f t="shared" si="418"/>
        <v>715</v>
      </c>
      <c r="F715" s="9" t="s">
        <v>128</v>
      </c>
      <c r="K715" s="9" t="s">
        <v>231</v>
      </c>
      <c r="L715" s="9" t="s">
        <v>231</v>
      </c>
      <c r="M715" s="9" t="s">
        <v>231</v>
      </c>
      <c r="N715" s="9" t="s">
        <v>231</v>
      </c>
      <c r="O715" s="23">
        <v>0</v>
      </c>
    </row>
    <row r="716" spans="1:15">
      <c r="E716" s="9">
        <f t="shared" si="418"/>
        <v>716</v>
      </c>
      <c r="F716" s="9" t="s">
        <v>200</v>
      </c>
      <c r="K716" s="9" t="s">
        <v>231</v>
      </c>
      <c r="L716" s="9" t="s">
        <v>231</v>
      </c>
      <c r="M716" s="9" t="s">
        <v>231</v>
      </c>
      <c r="N716" s="9" t="s">
        <v>231</v>
      </c>
      <c r="O716" s="23">
        <v>60</v>
      </c>
    </row>
    <row r="717" spans="1:15">
      <c r="E717" s="9">
        <f t="shared" si="418"/>
        <v>717</v>
      </c>
      <c r="F717" s="9" t="s">
        <v>29</v>
      </c>
      <c r="O717" s="23" t="s">
        <v>147</v>
      </c>
    </row>
    <row r="718" spans="1:15">
      <c r="E718" s="9">
        <f t="shared" si="418"/>
        <v>718</v>
      </c>
      <c r="F718" s="9" t="s">
        <v>118</v>
      </c>
      <c r="K718" s="9" t="s">
        <v>139</v>
      </c>
      <c r="O718" s="23">
        <v>2</v>
      </c>
    </row>
    <row r="719" spans="1:15">
      <c r="E719" s="9">
        <f t="shared" si="418"/>
        <v>719</v>
      </c>
      <c r="F719" s="9" t="s">
        <v>120</v>
      </c>
      <c r="G719" s="23" t="b">
        <f t="shared" ref="G719" si="420">MOD(B712,2)=0</f>
        <v>1</v>
      </c>
      <c r="H719" s="23" t="s">
        <v>146</v>
      </c>
      <c r="I719" s="23" t="s">
        <v>244</v>
      </c>
      <c r="O719" s="23" t="str">
        <f t="shared" ref="O719" si="421">IF(G719,H719,I719)</f>
        <v>Shot5_yellow</v>
      </c>
    </row>
    <row r="720" spans="1:15">
      <c r="E720" s="9">
        <f t="shared" si="418"/>
        <v>720</v>
      </c>
      <c r="F720" s="9" t="s">
        <v>30</v>
      </c>
      <c r="H720" s="23">
        <v>1.5</v>
      </c>
      <c r="I720" s="23">
        <v>1</v>
      </c>
      <c r="O720" s="23">
        <f t="shared" ref="O720" si="422">IF(B712&lt;=2,H720,I720)</f>
        <v>1</v>
      </c>
    </row>
    <row r="721" spans="1:15">
      <c r="E721" s="9">
        <f t="shared" si="418"/>
        <v>721</v>
      </c>
      <c r="F721" s="9" t="s">
        <v>31</v>
      </c>
      <c r="G721" s="23">
        <v>360</v>
      </c>
      <c r="L721" s="9" t="s">
        <v>136</v>
      </c>
      <c r="O721" s="23">
        <f t="shared" ref="O721" si="423">G721/G713*C712</f>
        <v>120</v>
      </c>
    </row>
    <row r="722" spans="1:15">
      <c r="E722" s="9">
        <f t="shared" si="418"/>
        <v>722</v>
      </c>
      <c r="F722" s="9" t="s">
        <v>100</v>
      </c>
      <c r="K722" s="9" t="s">
        <v>139</v>
      </c>
      <c r="O722" s="23">
        <v>2</v>
      </c>
    </row>
    <row r="723" spans="1:15">
      <c r="E723" s="9">
        <f t="shared" si="418"/>
        <v>723</v>
      </c>
      <c r="F723" s="9" t="s">
        <v>127</v>
      </c>
      <c r="O723" s="23">
        <v>1000</v>
      </c>
    </row>
    <row r="724" spans="1:15">
      <c r="E724" s="9">
        <f t="shared" si="418"/>
        <v>724</v>
      </c>
      <c r="F724" s="9" t="s">
        <v>99</v>
      </c>
      <c r="O724" s="23">
        <v>1200</v>
      </c>
    </row>
    <row r="725" spans="1:15">
      <c r="A725" s="22" t="s">
        <v>231</v>
      </c>
      <c r="B725" s="22">
        <f t="shared" ref="B725" si="424">QUOTIENT( D725-1,G726)+1</f>
        <v>4</v>
      </c>
      <c r="C725" s="22">
        <f t="shared" ref="C725" si="425">D725-(B725-1)*G726</f>
        <v>6</v>
      </c>
      <c r="D725" s="22">
        <f>COUNT($D$74:$D724)+1</f>
        <v>51</v>
      </c>
      <c r="F725" s="9" t="s">
        <v>231</v>
      </c>
      <c r="K725" s="9" t="s">
        <v>231</v>
      </c>
      <c r="L725" s="9" t="s">
        <v>231</v>
      </c>
      <c r="M725" s="9" t="s">
        <v>231</v>
      </c>
      <c r="N725" s="9" t="s">
        <v>231</v>
      </c>
    </row>
    <row r="726" spans="1:15">
      <c r="E726" s="9">
        <f t="shared" ref="E726:E737" si="426">ROW(E726)</f>
        <v>726</v>
      </c>
      <c r="F726" s="9" t="s">
        <v>95</v>
      </c>
      <c r="G726" s="23">
        <v>15</v>
      </c>
      <c r="H726" s="23">
        <v>4</v>
      </c>
      <c r="J726" s="23">
        <v>13400</v>
      </c>
      <c r="K726" s="9" t="s">
        <v>231</v>
      </c>
      <c r="L726" s="9" t="s">
        <v>231</v>
      </c>
      <c r="M726" s="9" t="s">
        <v>231</v>
      </c>
      <c r="N726" s="9" t="s">
        <v>231</v>
      </c>
      <c r="O726" s="23">
        <f t="shared" ref="O726" si="427">J726+D725</f>
        <v>13451</v>
      </c>
    </row>
    <row r="727" spans="1:15">
      <c r="E727" s="9">
        <f t="shared" si="426"/>
        <v>727</v>
      </c>
      <c r="F727" s="9" t="s">
        <v>145</v>
      </c>
      <c r="G727" s="23">
        <v>13301</v>
      </c>
      <c r="H727" s="23">
        <v>13302</v>
      </c>
      <c r="I727" s="23">
        <v>13303</v>
      </c>
      <c r="J727" s="23">
        <v>13304</v>
      </c>
      <c r="K727" s="9" t="s">
        <v>231</v>
      </c>
      <c r="L727" s="9" t="s">
        <v>231</v>
      </c>
      <c r="M727" s="9" t="s">
        <v>231</v>
      </c>
      <c r="N727" s="9" t="s">
        <v>231</v>
      </c>
      <c r="O727" s="23" cm="1">
        <f t="array" ref="O727">_xlfn.SWITCH(B725,1,G727,2,H727,3,I727,4,J727)</f>
        <v>13304</v>
      </c>
    </row>
    <row r="728" spans="1:15">
      <c r="E728" s="9">
        <f t="shared" si="426"/>
        <v>728</v>
      </c>
      <c r="F728" s="9" t="s">
        <v>128</v>
      </c>
      <c r="K728" s="9" t="s">
        <v>231</v>
      </c>
      <c r="L728" s="9" t="s">
        <v>231</v>
      </c>
      <c r="M728" s="9" t="s">
        <v>231</v>
      </c>
      <c r="N728" s="9" t="s">
        <v>231</v>
      </c>
      <c r="O728" s="23">
        <v>0</v>
      </c>
    </row>
    <row r="729" spans="1:15">
      <c r="E729" s="9">
        <f t="shared" si="426"/>
        <v>729</v>
      </c>
      <c r="F729" s="9" t="s">
        <v>200</v>
      </c>
      <c r="K729" s="9" t="s">
        <v>231</v>
      </c>
      <c r="L729" s="9" t="s">
        <v>231</v>
      </c>
      <c r="M729" s="9" t="s">
        <v>231</v>
      </c>
      <c r="N729" s="9" t="s">
        <v>231</v>
      </c>
      <c r="O729" s="23">
        <v>60</v>
      </c>
    </row>
    <row r="730" spans="1:15">
      <c r="E730" s="9">
        <f t="shared" si="426"/>
        <v>730</v>
      </c>
      <c r="F730" s="9" t="s">
        <v>29</v>
      </c>
      <c r="O730" s="23" t="s">
        <v>147</v>
      </c>
    </row>
    <row r="731" spans="1:15">
      <c r="E731" s="9">
        <f t="shared" si="426"/>
        <v>731</v>
      </c>
      <c r="F731" s="9" t="s">
        <v>118</v>
      </c>
      <c r="K731" s="9" t="s">
        <v>139</v>
      </c>
      <c r="O731" s="23">
        <v>2</v>
      </c>
    </row>
    <row r="732" spans="1:15">
      <c r="E732" s="9">
        <f t="shared" si="426"/>
        <v>732</v>
      </c>
      <c r="F732" s="9" t="s">
        <v>120</v>
      </c>
      <c r="G732" s="23" t="b">
        <f t="shared" ref="G732" si="428">MOD(B725,2)=0</f>
        <v>1</v>
      </c>
      <c r="H732" s="23" t="s">
        <v>146</v>
      </c>
      <c r="I732" s="23" t="s">
        <v>244</v>
      </c>
      <c r="O732" s="23" t="str">
        <f t="shared" ref="O732" si="429">IF(G732,H732,I732)</f>
        <v>Shot5_yellow</v>
      </c>
    </row>
    <row r="733" spans="1:15">
      <c r="E733" s="9">
        <f t="shared" si="426"/>
        <v>733</v>
      </c>
      <c r="F733" s="9" t="s">
        <v>30</v>
      </c>
      <c r="H733" s="23">
        <v>1.5</v>
      </c>
      <c r="I733" s="23">
        <v>1</v>
      </c>
      <c r="O733" s="23">
        <f t="shared" ref="O733" si="430">IF(B725&lt;=2,H733,I733)</f>
        <v>1</v>
      </c>
    </row>
    <row r="734" spans="1:15">
      <c r="E734" s="9">
        <f t="shared" si="426"/>
        <v>734</v>
      </c>
      <c r="F734" s="9" t="s">
        <v>31</v>
      </c>
      <c r="G734" s="23">
        <v>360</v>
      </c>
      <c r="L734" s="9" t="s">
        <v>136</v>
      </c>
      <c r="O734" s="23">
        <f t="shared" ref="O734" si="431">G734/G726*C725</f>
        <v>144</v>
      </c>
    </row>
    <row r="735" spans="1:15">
      <c r="E735" s="9">
        <f t="shared" si="426"/>
        <v>735</v>
      </c>
      <c r="F735" s="9" t="s">
        <v>100</v>
      </c>
      <c r="K735" s="9" t="s">
        <v>139</v>
      </c>
      <c r="O735" s="23">
        <v>2</v>
      </c>
    </row>
    <row r="736" spans="1:15">
      <c r="E736" s="9">
        <f t="shared" si="426"/>
        <v>736</v>
      </c>
      <c r="F736" s="9" t="s">
        <v>127</v>
      </c>
      <c r="O736" s="23">
        <v>1000</v>
      </c>
    </row>
    <row r="737" spans="1:15">
      <c r="E737" s="9">
        <f t="shared" si="426"/>
        <v>737</v>
      </c>
      <c r="F737" s="9" t="s">
        <v>99</v>
      </c>
      <c r="O737" s="23">
        <v>1200</v>
      </c>
    </row>
    <row r="738" spans="1:15">
      <c r="A738" s="22" t="s">
        <v>231</v>
      </c>
      <c r="B738" s="22">
        <f t="shared" ref="B738" si="432">QUOTIENT( D738-1,G739)+1</f>
        <v>4</v>
      </c>
      <c r="C738" s="22">
        <f t="shared" ref="C738" si="433">D738-(B738-1)*G739</f>
        <v>7</v>
      </c>
      <c r="D738" s="22">
        <f>COUNT($D$74:$D737)+1</f>
        <v>52</v>
      </c>
      <c r="F738" s="9" t="s">
        <v>231</v>
      </c>
      <c r="K738" s="9" t="s">
        <v>231</v>
      </c>
      <c r="L738" s="9" t="s">
        <v>231</v>
      </c>
      <c r="M738" s="9" t="s">
        <v>231</v>
      </c>
      <c r="N738" s="9" t="s">
        <v>231</v>
      </c>
    </row>
    <row r="739" spans="1:15">
      <c r="E739" s="9">
        <f t="shared" ref="E739:E750" si="434">ROW(E739)</f>
        <v>739</v>
      </c>
      <c r="F739" s="9" t="s">
        <v>95</v>
      </c>
      <c r="G739" s="23">
        <v>15</v>
      </c>
      <c r="H739" s="23">
        <v>4</v>
      </c>
      <c r="J739" s="23">
        <v>13400</v>
      </c>
      <c r="K739" s="9" t="s">
        <v>231</v>
      </c>
      <c r="L739" s="9" t="s">
        <v>231</v>
      </c>
      <c r="M739" s="9" t="s">
        <v>231</v>
      </c>
      <c r="N739" s="9" t="s">
        <v>231</v>
      </c>
      <c r="O739" s="23">
        <f t="shared" ref="O739" si="435">J739+D738</f>
        <v>13452</v>
      </c>
    </row>
    <row r="740" spans="1:15">
      <c r="E740" s="9">
        <f t="shared" si="434"/>
        <v>740</v>
      </c>
      <c r="F740" s="9" t="s">
        <v>145</v>
      </c>
      <c r="G740" s="23">
        <v>13301</v>
      </c>
      <c r="H740" s="23">
        <v>13302</v>
      </c>
      <c r="I740" s="23">
        <v>13303</v>
      </c>
      <c r="J740" s="23">
        <v>13304</v>
      </c>
      <c r="K740" s="9" t="s">
        <v>231</v>
      </c>
      <c r="L740" s="9" t="s">
        <v>231</v>
      </c>
      <c r="M740" s="9" t="s">
        <v>231</v>
      </c>
      <c r="N740" s="9" t="s">
        <v>231</v>
      </c>
      <c r="O740" s="23" cm="1">
        <f t="array" ref="O740">_xlfn.SWITCH(B738,1,G740,2,H740,3,I740,4,J740)</f>
        <v>13304</v>
      </c>
    </row>
    <row r="741" spans="1:15">
      <c r="E741" s="9">
        <f t="shared" si="434"/>
        <v>741</v>
      </c>
      <c r="F741" s="9" t="s">
        <v>128</v>
      </c>
      <c r="K741" s="9" t="s">
        <v>231</v>
      </c>
      <c r="L741" s="9" t="s">
        <v>231</v>
      </c>
      <c r="M741" s="9" t="s">
        <v>231</v>
      </c>
      <c r="N741" s="9" t="s">
        <v>231</v>
      </c>
      <c r="O741" s="23">
        <v>0</v>
      </c>
    </row>
    <row r="742" spans="1:15">
      <c r="E742" s="9">
        <f t="shared" si="434"/>
        <v>742</v>
      </c>
      <c r="F742" s="9" t="s">
        <v>200</v>
      </c>
      <c r="K742" s="9" t="s">
        <v>231</v>
      </c>
      <c r="L742" s="9" t="s">
        <v>231</v>
      </c>
      <c r="M742" s="9" t="s">
        <v>231</v>
      </c>
      <c r="N742" s="9" t="s">
        <v>231</v>
      </c>
      <c r="O742" s="23">
        <v>60</v>
      </c>
    </row>
    <row r="743" spans="1:15">
      <c r="E743" s="9">
        <f t="shared" si="434"/>
        <v>743</v>
      </c>
      <c r="F743" s="9" t="s">
        <v>29</v>
      </c>
      <c r="O743" s="23" t="s">
        <v>147</v>
      </c>
    </row>
    <row r="744" spans="1:15">
      <c r="E744" s="9">
        <f t="shared" si="434"/>
        <v>744</v>
      </c>
      <c r="F744" s="9" t="s">
        <v>118</v>
      </c>
      <c r="K744" s="9" t="s">
        <v>139</v>
      </c>
      <c r="O744" s="23">
        <v>2</v>
      </c>
    </row>
    <row r="745" spans="1:15">
      <c r="E745" s="9">
        <f t="shared" si="434"/>
        <v>745</v>
      </c>
      <c r="F745" s="9" t="s">
        <v>120</v>
      </c>
      <c r="G745" s="23" t="b">
        <f t="shared" ref="G745" si="436">MOD(B738,2)=0</f>
        <v>1</v>
      </c>
      <c r="H745" s="23" t="s">
        <v>146</v>
      </c>
      <c r="I745" s="23" t="s">
        <v>244</v>
      </c>
      <c r="O745" s="23" t="str">
        <f t="shared" ref="O745" si="437">IF(G745,H745,I745)</f>
        <v>Shot5_yellow</v>
      </c>
    </row>
    <row r="746" spans="1:15">
      <c r="E746" s="9">
        <f t="shared" si="434"/>
        <v>746</v>
      </c>
      <c r="F746" s="9" t="s">
        <v>30</v>
      </c>
      <c r="H746" s="23">
        <v>1.5</v>
      </c>
      <c r="I746" s="23">
        <v>1</v>
      </c>
      <c r="O746" s="23">
        <f t="shared" ref="O746" si="438">IF(B738&lt;=2,H746,I746)</f>
        <v>1</v>
      </c>
    </row>
    <row r="747" spans="1:15">
      <c r="E747" s="9">
        <f t="shared" si="434"/>
        <v>747</v>
      </c>
      <c r="F747" s="9" t="s">
        <v>31</v>
      </c>
      <c r="G747" s="23">
        <v>360</v>
      </c>
      <c r="L747" s="9" t="s">
        <v>136</v>
      </c>
      <c r="O747" s="23">
        <f t="shared" ref="O747" si="439">G747/G739*C738</f>
        <v>168</v>
      </c>
    </row>
    <row r="748" spans="1:15">
      <c r="E748" s="9">
        <f t="shared" si="434"/>
        <v>748</v>
      </c>
      <c r="F748" s="9" t="s">
        <v>100</v>
      </c>
      <c r="K748" s="9" t="s">
        <v>139</v>
      </c>
      <c r="O748" s="23">
        <v>2</v>
      </c>
    </row>
    <row r="749" spans="1:15">
      <c r="E749" s="9">
        <f t="shared" si="434"/>
        <v>749</v>
      </c>
      <c r="F749" s="9" t="s">
        <v>127</v>
      </c>
      <c r="O749" s="23">
        <v>1000</v>
      </c>
    </row>
    <row r="750" spans="1:15">
      <c r="E750" s="9">
        <f t="shared" si="434"/>
        <v>750</v>
      </c>
      <c r="F750" s="9" t="s">
        <v>99</v>
      </c>
      <c r="O750" s="23">
        <v>1200</v>
      </c>
    </row>
    <row r="751" spans="1:15">
      <c r="A751" s="22" t="s">
        <v>231</v>
      </c>
      <c r="B751" s="22">
        <f t="shared" ref="B751" si="440">QUOTIENT( D751-1,G752)+1</f>
        <v>4</v>
      </c>
      <c r="C751" s="22">
        <f t="shared" ref="C751" si="441">D751-(B751-1)*G752</f>
        <v>8</v>
      </c>
      <c r="D751" s="22">
        <f>COUNT($D$74:$D750)+1</f>
        <v>53</v>
      </c>
      <c r="F751" s="9" t="s">
        <v>231</v>
      </c>
      <c r="K751" s="9" t="s">
        <v>231</v>
      </c>
      <c r="L751" s="9" t="s">
        <v>231</v>
      </c>
      <c r="M751" s="9" t="s">
        <v>231</v>
      </c>
      <c r="N751" s="9" t="s">
        <v>231</v>
      </c>
    </row>
    <row r="752" spans="1:15">
      <c r="E752" s="9">
        <f t="shared" ref="E752:E763" si="442">ROW(E752)</f>
        <v>752</v>
      </c>
      <c r="F752" s="9" t="s">
        <v>95</v>
      </c>
      <c r="G752" s="23">
        <v>15</v>
      </c>
      <c r="H752" s="23">
        <v>4</v>
      </c>
      <c r="J752" s="23">
        <v>13400</v>
      </c>
      <c r="K752" s="9" t="s">
        <v>231</v>
      </c>
      <c r="L752" s="9" t="s">
        <v>231</v>
      </c>
      <c r="M752" s="9" t="s">
        <v>231</v>
      </c>
      <c r="N752" s="9" t="s">
        <v>231</v>
      </c>
      <c r="O752" s="23">
        <f t="shared" ref="O752" si="443">J752+D751</f>
        <v>13453</v>
      </c>
    </row>
    <row r="753" spans="1:15">
      <c r="E753" s="9">
        <f t="shared" si="442"/>
        <v>753</v>
      </c>
      <c r="F753" s="9" t="s">
        <v>145</v>
      </c>
      <c r="G753" s="23">
        <v>13301</v>
      </c>
      <c r="H753" s="23">
        <v>13302</v>
      </c>
      <c r="I753" s="23">
        <v>13303</v>
      </c>
      <c r="J753" s="23">
        <v>13304</v>
      </c>
      <c r="K753" s="9" t="s">
        <v>231</v>
      </c>
      <c r="L753" s="9" t="s">
        <v>231</v>
      </c>
      <c r="M753" s="9" t="s">
        <v>231</v>
      </c>
      <c r="N753" s="9" t="s">
        <v>231</v>
      </c>
      <c r="O753" s="23" cm="1">
        <f t="array" ref="O753">_xlfn.SWITCH(B751,1,G753,2,H753,3,I753,4,J753)</f>
        <v>13304</v>
      </c>
    </row>
    <row r="754" spans="1:15">
      <c r="E754" s="9">
        <f t="shared" si="442"/>
        <v>754</v>
      </c>
      <c r="F754" s="9" t="s">
        <v>128</v>
      </c>
      <c r="K754" s="9" t="s">
        <v>231</v>
      </c>
      <c r="L754" s="9" t="s">
        <v>231</v>
      </c>
      <c r="M754" s="9" t="s">
        <v>231</v>
      </c>
      <c r="N754" s="9" t="s">
        <v>231</v>
      </c>
      <c r="O754" s="23">
        <v>0</v>
      </c>
    </row>
    <row r="755" spans="1:15">
      <c r="E755" s="9">
        <f t="shared" si="442"/>
        <v>755</v>
      </c>
      <c r="F755" s="9" t="s">
        <v>200</v>
      </c>
      <c r="K755" s="9" t="s">
        <v>231</v>
      </c>
      <c r="L755" s="9" t="s">
        <v>231</v>
      </c>
      <c r="M755" s="9" t="s">
        <v>231</v>
      </c>
      <c r="N755" s="9" t="s">
        <v>231</v>
      </c>
      <c r="O755" s="23">
        <v>60</v>
      </c>
    </row>
    <row r="756" spans="1:15">
      <c r="E756" s="9">
        <f t="shared" si="442"/>
        <v>756</v>
      </c>
      <c r="F756" s="9" t="s">
        <v>29</v>
      </c>
      <c r="O756" s="23" t="s">
        <v>147</v>
      </c>
    </row>
    <row r="757" spans="1:15">
      <c r="E757" s="9">
        <f t="shared" si="442"/>
        <v>757</v>
      </c>
      <c r="F757" s="9" t="s">
        <v>118</v>
      </c>
      <c r="K757" s="9" t="s">
        <v>139</v>
      </c>
      <c r="O757" s="23">
        <v>2</v>
      </c>
    </row>
    <row r="758" spans="1:15">
      <c r="E758" s="9">
        <f t="shared" si="442"/>
        <v>758</v>
      </c>
      <c r="F758" s="9" t="s">
        <v>120</v>
      </c>
      <c r="G758" s="23" t="b">
        <f t="shared" ref="G758" si="444">MOD(B751,2)=0</f>
        <v>1</v>
      </c>
      <c r="H758" s="23" t="s">
        <v>146</v>
      </c>
      <c r="I758" s="23" t="s">
        <v>244</v>
      </c>
      <c r="O758" s="23" t="str">
        <f t="shared" ref="O758" si="445">IF(G758,H758,I758)</f>
        <v>Shot5_yellow</v>
      </c>
    </row>
    <row r="759" spans="1:15">
      <c r="E759" s="9">
        <f t="shared" si="442"/>
        <v>759</v>
      </c>
      <c r="F759" s="9" t="s">
        <v>30</v>
      </c>
      <c r="H759" s="23">
        <v>1.5</v>
      </c>
      <c r="I759" s="23">
        <v>1</v>
      </c>
      <c r="O759" s="23">
        <f t="shared" ref="O759" si="446">IF(B751&lt;=2,H759,I759)</f>
        <v>1</v>
      </c>
    </row>
    <row r="760" spans="1:15">
      <c r="E760" s="9">
        <f t="shared" si="442"/>
        <v>760</v>
      </c>
      <c r="F760" s="9" t="s">
        <v>31</v>
      </c>
      <c r="G760" s="23">
        <v>360</v>
      </c>
      <c r="L760" s="9" t="s">
        <v>136</v>
      </c>
      <c r="O760" s="23">
        <f t="shared" ref="O760" si="447">G760/G752*C751</f>
        <v>192</v>
      </c>
    </row>
    <row r="761" spans="1:15">
      <c r="E761" s="9">
        <f t="shared" si="442"/>
        <v>761</v>
      </c>
      <c r="F761" s="9" t="s">
        <v>100</v>
      </c>
      <c r="K761" s="9" t="s">
        <v>139</v>
      </c>
      <c r="O761" s="23">
        <v>2</v>
      </c>
    </row>
    <row r="762" spans="1:15">
      <c r="E762" s="9">
        <f t="shared" si="442"/>
        <v>762</v>
      </c>
      <c r="F762" s="9" t="s">
        <v>127</v>
      </c>
      <c r="O762" s="23">
        <v>1000</v>
      </c>
    </row>
    <row r="763" spans="1:15">
      <c r="E763" s="9">
        <f t="shared" si="442"/>
        <v>763</v>
      </c>
      <c r="F763" s="9" t="s">
        <v>99</v>
      </c>
      <c r="O763" s="23">
        <v>1200</v>
      </c>
    </row>
    <row r="764" spans="1:15">
      <c r="A764" s="22" t="s">
        <v>231</v>
      </c>
      <c r="B764" s="22">
        <f t="shared" ref="B764" si="448">QUOTIENT( D764-1,G765)+1</f>
        <v>4</v>
      </c>
      <c r="C764" s="22">
        <f t="shared" ref="C764" si="449">D764-(B764-1)*G765</f>
        <v>9</v>
      </c>
      <c r="D764" s="22">
        <f>COUNT($D$74:$D763)+1</f>
        <v>54</v>
      </c>
      <c r="F764" s="9" t="s">
        <v>231</v>
      </c>
      <c r="K764" s="9" t="s">
        <v>231</v>
      </c>
      <c r="L764" s="9" t="s">
        <v>231</v>
      </c>
      <c r="M764" s="9" t="s">
        <v>231</v>
      </c>
      <c r="N764" s="9" t="s">
        <v>231</v>
      </c>
    </row>
    <row r="765" spans="1:15">
      <c r="E765" s="9">
        <f t="shared" ref="E765:E776" si="450">ROW(E765)</f>
        <v>765</v>
      </c>
      <c r="F765" s="9" t="s">
        <v>95</v>
      </c>
      <c r="G765" s="23">
        <v>15</v>
      </c>
      <c r="H765" s="23">
        <v>4</v>
      </c>
      <c r="J765" s="23">
        <v>13400</v>
      </c>
      <c r="K765" s="9" t="s">
        <v>231</v>
      </c>
      <c r="L765" s="9" t="s">
        <v>231</v>
      </c>
      <c r="M765" s="9" t="s">
        <v>231</v>
      </c>
      <c r="N765" s="9" t="s">
        <v>231</v>
      </c>
      <c r="O765" s="23">
        <f t="shared" ref="O765" si="451">J765+D764</f>
        <v>13454</v>
      </c>
    </row>
    <row r="766" spans="1:15">
      <c r="E766" s="9">
        <f t="shared" si="450"/>
        <v>766</v>
      </c>
      <c r="F766" s="9" t="s">
        <v>145</v>
      </c>
      <c r="G766" s="23">
        <v>13301</v>
      </c>
      <c r="H766" s="23">
        <v>13302</v>
      </c>
      <c r="I766" s="23">
        <v>13303</v>
      </c>
      <c r="J766" s="23">
        <v>13304</v>
      </c>
      <c r="K766" s="9" t="s">
        <v>231</v>
      </c>
      <c r="L766" s="9" t="s">
        <v>231</v>
      </c>
      <c r="M766" s="9" t="s">
        <v>231</v>
      </c>
      <c r="N766" s="9" t="s">
        <v>231</v>
      </c>
      <c r="O766" s="23" cm="1">
        <f t="array" ref="O766">_xlfn.SWITCH(B764,1,G766,2,H766,3,I766,4,J766)</f>
        <v>13304</v>
      </c>
    </row>
    <row r="767" spans="1:15">
      <c r="E767" s="9">
        <f t="shared" si="450"/>
        <v>767</v>
      </c>
      <c r="F767" s="9" t="s">
        <v>128</v>
      </c>
      <c r="K767" s="9" t="s">
        <v>231</v>
      </c>
      <c r="L767" s="9" t="s">
        <v>231</v>
      </c>
      <c r="M767" s="9" t="s">
        <v>231</v>
      </c>
      <c r="N767" s="9" t="s">
        <v>231</v>
      </c>
      <c r="O767" s="23">
        <v>0</v>
      </c>
    </row>
    <row r="768" spans="1:15">
      <c r="E768" s="9">
        <f t="shared" si="450"/>
        <v>768</v>
      </c>
      <c r="F768" s="9" t="s">
        <v>200</v>
      </c>
      <c r="K768" s="9" t="s">
        <v>231</v>
      </c>
      <c r="L768" s="9" t="s">
        <v>231</v>
      </c>
      <c r="M768" s="9" t="s">
        <v>231</v>
      </c>
      <c r="N768" s="9" t="s">
        <v>231</v>
      </c>
      <c r="O768" s="23">
        <v>60</v>
      </c>
    </row>
    <row r="769" spans="1:15">
      <c r="E769" s="9">
        <f t="shared" si="450"/>
        <v>769</v>
      </c>
      <c r="F769" s="9" t="s">
        <v>29</v>
      </c>
      <c r="O769" s="23" t="s">
        <v>147</v>
      </c>
    </row>
    <row r="770" spans="1:15">
      <c r="E770" s="9">
        <f t="shared" si="450"/>
        <v>770</v>
      </c>
      <c r="F770" s="9" t="s">
        <v>118</v>
      </c>
      <c r="K770" s="9" t="s">
        <v>139</v>
      </c>
      <c r="O770" s="23">
        <v>2</v>
      </c>
    </row>
    <row r="771" spans="1:15">
      <c r="E771" s="9">
        <f t="shared" si="450"/>
        <v>771</v>
      </c>
      <c r="F771" s="9" t="s">
        <v>120</v>
      </c>
      <c r="G771" s="23" t="b">
        <f t="shared" ref="G771" si="452">MOD(B764,2)=0</f>
        <v>1</v>
      </c>
      <c r="H771" s="23" t="s">
        <v>146</v>
      </c>
      <c r="I771" s="23" t="s">
        <v>244</v>
      </c>
      <c r="O771" s="23" t="str">
        <f t="shared" ref="O771" si="453">IF(G771,H771,I771)</f>
        <v>Shot5_yellow</v>
      </c>
    </row>
    <row r="772" spans="1:15">
      <c r="E772" s="9">
        <f t="shared" si="450"/>
        <v>772</v>
      </c>
      <c r="F772" s="9" t="s">
        <v>30</v>
      </c>
      <c r="H772" s="23">
        <v>1.5</v>
      </c>
      <c r="I772" s="23">
        <v>1</v>
      </c>
      <c r="O772" s="23">
        <f t="shared" ref="O772" si="454">IF(B764&lt;=2,H772,I772)</f>
        <v>1</v>
      </c>
    </row>
    <row r="773" spans="1:15">
      <c r="E773" s="9">
        <f t="shared" si="450"/>
        <v>773</v>
      </c>
      <c r="F773" s="9" t="s">
        <v>31</v>
      </c>
      <c r="G773" s="23">
        <v>360</v>
      </c>
      <c r="L773" s="9" t="s">
        <v>136</v>
      </c>
      <c r="O773" s="23">
        <f t="shared" ref="O773" si="455">G773/G765*C764</f>
        <v>216</v>
      </c>
    </row>
    <row r="774" spans="1:15">
      <c r="E774" s="9">
        <f t="shared" si="450"/>
        <v>774</v>
      </c>
      <c r="F774" s="9" t="s">
        <v>100</v>
      </c>
      <c r="K774" s="9" t="s">
        <v>139</v>
      </c>
      <c r="O774" s="23">
        <v>2</v>
      </c>
    </row>
    <row r="775" spans="1:15">
      <c r="E775" s="9">
        <f t="shared" si="450"/>
        <v>775</v>
      </c>
      <c r="F775" s="9" t="s">
        <v>127</v>
      </c>
      <c r="O775" s="23">
        <v>1000</v>
      </c>
    </row>
    <row r="776" spans="1:15">
      <c r="E776" s="9">
        <f t="shared" si="450"/>
        <v>776</v>
      </c>
      <c r="F776" s="9" t="s">
        <v>99</v>
      </c>
      <c r="O776" s="23">
        <v>1200</v>
      </c>
    </row>
    <row r="777" spans="1:15">
      <c r="A777" s="22" t="s">
        <v>231</v>
      </c>
      <c r="B777" s="22">
        <f t="shared" ref="B777" si="456">QUOTIENT( D777-1,G778)+1</f>
        <v>4</v>
      </c>
      <c r="C777" s="22">
        <f t="shared" ref="C777" si="457">D777-(B777-1)*G778</f>
        <v>10</v>
      </c>
      <c r="D777" s="22">
        <f>COUNT($D$74:$D776)+1</f>
        <v>55</v>
      </c>
      <c r="F777" s="9" t="s">
        <v>231</v>
      </c>
      <c r="K777" s="9" t="s">
        <v>231</v>
      </c>
      <c r="L777" s="9" t="s">
        <v>231</v>
      </c>
      <c r="M777" s="9" t="s">
        <v>231</v>
      </c>
      <c r="N777" s="9" t="s">
        <v>231</v>
      </c>
    </row>
    <row r="778" spans="1:15">
      <c r="E778" s="9">
        <f t="shared" ref="E778:E789" si="458">ROW(E778)</f>
        <v>778</v>
      </c>
      <c r="F778" s="9" t="s">
        <v>95</v>
      </c>
      <c r="G778" s="23">
        <v>15</v>
      </c>
      <c r="H778" s="23">
        <v>4</v>
      </c>
      <c r="J778" s="23">
        <v>13400</v>
      </c>
      <c r="K778" s="9" t="s">
        <v>231</v>
      </c>
      <c r="L778" s="9" t="s">
        <v>231</v>
      </c>
      <c r="M778" s="9" t="s">
        <v>231</v>
      </c>
      <c r="N778" s="9" t="s">
        <v>231</v>
      </c>
      <c r="O778" s="23">
        <f t="shared" ref="O778" si="459">J778+D777</f>
        <v>13455</v>
      </c>
    </row>
    <row r="779" spans="1:15">
      <c r="E779" s="9">
        <f t="shared" si="458"/>
        <v>779</v>
      </c>
      <c r="F779" s="9" t="s">
        <v>145</v>
      </c>
      <c r="G779" s="23">
        <v>13301</v>
      </c>
      <c r="H779" s="23">
        <v>13302</v>
      </c>
      <c r="I779" s="23">
        <v>13303</v>
      </c>
      <c r="J779" s="23">
        <v>13304</v>
      </c>
      <c r="K779" s="9" t="s">
        <v>231</v>
      </c>
      <c r="L779" s="9" t="s">
        <v>231</v>
      </c>
      <c r="M779" s="9" t="s">
        <v>231</v>
      </c>
      <c r="N779" s="9" t="s">
        <v>231</v>
      </c>
      <c r="O779" s="23" cm="1">
        <f t="array" ref="O779">_xlfn.SWITCH(B777,1,G779,2,H779,3,I779,4,J779)</f>
        <v>13304</v>
      </c>
    </row>
    <row r="780" spans="1:15">
      <c r="E780" s="9">
        <f t="shared" si="458"/>
        <v>780</v>
      </c>
      <c r="F780" s="9" t="s">
        <v>128</v>
      </c>
      <c r="K780" s="9" t="s">
        <v>231</v>
      </c>
      <c r="L780" s="9" t="s">
        <v>231</v>
      </c>
      <c r="M780" s="9" t="s">
        <v>231</v>
      </c>
      <c r="N780" s="9" t="s">
        <v>231</v>
      </c>
      <c r="O780" s="23">
        <v>0</v>
      </c>
    </row>
    <row r="781" spans="1:15">
      <c r="E781" s="9">
        <f t="shared" si="458"/>
        <v>781</v>
      </c>
      <c r="F781" s="9" t="s">
        <v>200</v>
      </c>
      <c r="K781" s="9" t="s">
        <v>231</v>
      </c>
      <c r="L781" s="9" t="s">
        <v>231</v>
      </c>
      <c r="M781" s="9" t="s">
        <v>231</v>
      </c>
      <c r="N781" s="9" t="s">
        <v>231</v>
      </c>
      <c r="O781" s="23">
        <v>60</v>
      </c>
    </row>
    <row r="782" spans="1:15">
      <c r="E782" s="9">
        <f t="shared" si="458"/>
        <v>782</v>
      </c>
      <c r="F782" s="9" t="s">
        <v>29</v>
      </c>
      <c r="O782" s="23" t="s">
        <v>147</v>
      </c>
    </row>
    <row r="783" spans="1:15">
      <c r="E783" s="9">
        <f t="shared" si="458"/>
        <v>783</v>
      </c>
      <c r="F783" s="9" t="s">
        <v>118</v>
      </c>
      <c r="K783" s="9" t="s">
        <v>139</v>
      </c>
      <c r="O783" s="23">
        <v>2</v>
      </c>
    </row>
    <row r="784" spans="1:15">
      <c r="E784" s="9">
        <f t="shared" si="458"/>
        <v>784</v>
      </c>
      <c r="F784" s="9" t="s">
        <v>120</v>
      </c>
      <c r="G784" s="23" t="b">
        <f t="shared" ref="G784" si="460">MOD(B777,2)=0</f>
        <v>1</v>
      </c>
      <c r="H784" s="23" t="s">
        <v>146</v>
      </c>
      <c r="I784" s="23" t="s">
        <v>244</v>
      </c>
      <c r="O784" s="23" t="str">
        <f t="shared" ref="O784" si="461">IF(G784,H784,I784)</f>
        <v>Shot5_yellow</v>
      </c>
    </row>
    <row r="785" spans="1:15">
      <c r="E785" s="9">
        <f t="shared" si="458"/>
        <v>785</v>
      </c>
      <c r="F785" s="9" t="s">
        <v>30</v>
      </c>
      <c r="H785" s="23">
        <v>1.5</v>
      </c>
      <c r="I785" s="23">
        <v>1</v>
      </c>
      <c r="O785" s="23">
        <f t="shared" ref="O785" si="462">IF(B777&lt;=2,H785,I785)</f>
        <v>1</v>
      </c>
    </row>
    <row r="786" spans="1:15">
      <c r="E786" s="9">
        <f t="shared" si="458"/>
        <v>786</v>
      </c>
      <c r="F786" s="9" t="s">
        <v>31</v>
      </c>
      <c r="G786" s="23">
        <v>360</v>
      </c>
      <c r="L786" s="9" t="s">
        <v>136</v>
      </c>
      <c r="O786" s="23">
        <f t="shared" ref="O786" si="463">G786/G778*C777</f>
        <v>240</v>
      </c>
    </row>
    <row r="787" spans="1:15">
      <c r="E787" s="9">
        <f t="shared" si="458"/>
        <v>787</v>
      </c>
      <c r="F787" s="9" t="s">
        <v>100</v>
      </c>
      <c r="K787" s="9" t="s">
        <v>139</v>
      </c>
      <c r="O787" s="23">
        <v>2</v>
      </c>
    </row>
    <row r="788" spans="1:15">
      <c r="E788" s="9">
        <f t="shared" si="458"/>
        <v>788</v>
      </c>
      <c r="F788" s="9" t="s">
        <v>127</v>
      </c>
      <c r="O788" s="23">
        <v>1000</v>
      </c>
    </row>
    <row r="789" spans="1:15">
      <c r="E789" s="9">
        <f t="shared" si="458"/>
        <v>789</v>
      </c>
      <c r="F789" s="9" t="s">
        <v>99</v>
      </c>
      <c r="O789" s="23">
        <v>1200</v>
      </c>
    </row>
    <row r="790" spans="1:15">
      <c r="A790" s="22" t="s">
        <v>231</v>
      </c>
      <c r="B790" s="22">
        <f t="shared" ref="B790" si="464">QUOTIENT( D790-1,G791)+1</f>
        <v>4</v>
      </c>
      <c r="C790" s="22">
        <f t="shared" ref="C790" si="465">D790-(B790-1)*G791</f>
        <v>11</v>
      </c>
      <c r="D790" s="22">
        <f>COUNT($D$74:$D789)+1</f>
        <v>56</v>
      </c>
      <c r="F790" s="9" t="s">
        <v>231</v>
      </c>
      <c r="K790" s="9" t="s">
        <v>231</v>
      </c>
      <c r="L790" s="9" t="s">
        <v>231</v>
      </c>
      <c r="M790" s="9" t="s">
        <v>231</v>
      </c>
      <c r="N790" s="9" t="s">
        <v>231</v>
      </c>
    </row>
    <row r="791" spans="1:15">
      <c r="E791" s="9">
        <f t="shared" ref="E791:E802" si="466">ROW(E791)</f>
        <v>791</v>
      </c>
      <c r="F791" s="9" t="s">
        <v>95</v>
      </c>
      <c r="G791" s="23">
        <v>15</v>
      </c>
      <c r="H791" s="23">
        <v>4</v>
      </c>
      <c r="J791" s="23">
        <v>13400</v>
      </c>
      <c r="K791" s="9" t="s">
        <v>231</v>
      </c>
      <c r="L791" s="9" t="s">
        <v>231</v>
      </c>
      <c r="M791" s="9" t="s">
        <v>231</v>
      </c>
      <c r="N791" s="9" t="s">
        <v>231</v>
      </c>
      <c r="O791" s="23">
        <f t="shared" ref="O791" si="467">J791+D790</f>
        <v>13456</v>
      </c>
    </row>
    <row r="792" spans="1:15">
      <c r="E792" s="9">
        <f t="shared" si="466"/>
        <v>792</v>
      </c>
      <c r="F792" s="9" t="s">
        <v>145</v>
      </c>
      <c r="G792" s="23">
        <v>13301</v>
      </c>
      <c r="H792" s="23">
        <v>13302</v>
      </c>
      <c r="I792" s="23">
        <v>13303</v>
      </c>
      <c r="J792" s="23">
        <v>13304</v>
      </c>
      <c r="K792" s="9" t="s">
        <v>231</v>
      </c>
      <c r="L792" s="9" t="s">
        <v>231</v>
      </c>
      <c r="M792" s="9" t="s">
        <v>231</v>
      </c>
      <c r="N792" s="9" t="s">
        <v>231</v>
      </c>
      <c r="O792" s="23" cm="1">
        <f t="array" ref="O792">_xlfn.SWITCH(B790,1,G792,2,H792,3,I792,4,J792)</f>
        <v>13304</v>
      </c>
    </row>
    <row r="793" spans="1:15">
      <c r="E793" s="9">
        <f t="shared" si="466"/>
        <v>793</v>
      </c>
      <c r="F793" s="9" t="s">
        <v>128</v>
      </c>
      <c r="K793" s="9" t="s">
        <v>231</v>
      </c>
      <c r="L793" s="9" t="s">
        <v>231</v>
      </c>
      <c r="M793" s="9" t="s">
        <v>231</v>
      </c>
      <c r="N793" s="9" t="s">
        <v>231</v>
      </c>
      <c r="O793" s="23">
        <v>0</v>
      </c>
    </row>
    <row r="794" spans="1:15">
      <c r="E794" s="9">
        <f t="shared" si="466"/>
        <v>794</v>
      </c>
      <c r="F794" s="9" t="s">
        <v>200</v>
      </c>
      <c r="K794" s="9" t="s">
        <v>231</v>
      </c>
      <c r="L794" s="9" t="s">
        <v>231</v>
      </c>
      <c r="M794" s="9" t="s">
        <v>231</v>
      </c>
      <c r="N794" s="9" t="s">
        <v>231</v>
      </c>
      <c r="O794" s="23">
        <v>60</v>
      </c>
    </row>
    <row r="795" spans="1:15">
      <c r="E795" s="9">
        <f t="shared" si="466"/>
        <v>795</v>
      </c>
      <c r="F795" s="9" t="s">
        <v>29</v>
      </c>
      <c r="O795" s="23" t="s">
        <v>147</v>
      </c>
    </row>
    <row r="796" spans="1:15">
      <c r="E796" s="9">
        <f t="shared" si="466"/>
        <v>796</v>
      </c>
      <c r="F796" s="9" t="s">
        <v>118</v>
      </c>
      <c r="K796" s="9" t="s">
        <v>139</v>
      </c>
      <c r="O796" s="23">
        <v>2</v>
      </c>
    </row>
    <row r="797" spans="1:15">
      <c r="E797" s="9">
        <f t="shared" si="466"/>
        <v>797</v>
      </c>
      <c r="F797" s="9" t="s">
        <v>120</v>
      </c>
      <c r="G797" s="23" t="b">
        <f t="shared" ref="G797" si="468">MOD(B790,2)=0</f>
        <v>1</v>
      </c>
      <c r="H797" s="23" t="s">
        <v>146</v>
      </c>
      <c r="I797" s="23" t="s">
        <v>244</v>
      </c>
      <c r="O797" s="23" t="str">
        <f t="shared" ref="O797" si="469">IF(G797,H797,I797)</f>
        <v>Shot5_yellow</v>
      </c>
    </row>
    <row r="798" spans="1:15">
      <c r="E798" s="9">
        <f t="shared" si="466"/>
        <v>798</v>
      </c>
      <c r="F798" s="9" t="s">
        <v>30</v>
      </c>
      <c r="H798" s="23">
        <v>1.5</v>
      </c>
      <c r="I798" s="23">
        <v>1</v>
      </c>
      <c r="O798" s="23">
        <f t="shared" ref="O798" si="470">IF(B790&lt;=2,H798,I798)</f>
        <v>1</v>
      </c>
    </row>
    <row r="799" spans="1:15">
      <c r="E799" s="9">
        <f t="shared" si="466"/>
        <v>799</v>
      </c>
      <c r="F799" s="9" t="s">
        <v>31</v>
      </c>
      <c r="G799" s="23">
        <v>360</v>
      </c>
      <c r="L799" s="9" t="s">
        <v>136</v>
      </c>
      <c r="O799" s="23">
        <f t="shared" ref="O799" si="471">G799/G791*C790</f>
        <v>264</v>
      </c>
    </row>
    <row r="800" spans="1:15">
      <c r="E800" s="9">
        <f t="shared" si="466"/>
        <v>800</v>
      </c>
      <c r="F800" s="9" t="s">
        <v>100</v>
      </c>
      <c r="K800" s="9" t="s">
        <v>139</v>
      </c>
      <c r="O800" s="23">
        <v>2</v>
      </c>
    </row>
    <row r="801" spans="1:15">
      <c r="E801" s="9">
        <f t="shared" si="466"/>
        <v>801</v>
      </c>
      <c r="F801" s="9" t="s">
        <v>127</v>
      </c>
      <c r="O801" s="23">
        <v>1000</v>
      </c>
    </row>
    <row r="802" spans="1:15">
      <c r="E802" s="9">
        <f t="shared" si="466"/>
        <v>802</v>
      </c>
      <c r="F802" s="9" t="s">
        <v>99</v>
      </c>
      <c r="O802" s="23">
        <v>1200</v>
      </c>
    </row>
    <row r="803" spans="1:15">
      <c r="A803" s="22" t="s">
        <v>231</v>
      </c>
      <c r="B803" s="22">
        <f t="shared" ref="B803" si="472">QUOTIENT( D803-1,G804)+1</f>
        <v>4</v>
      </c>
      <c r="C803" s="22">
        <f t="shared" ref="C803" si="473">D803-(B803-1)*G804</f>
        <v>12</v>
      </c>
      <c r="D803" s="22">
        <f>COUNT($D$74:$D802)+1</f>
        <v>57</v>
      </c>
      <c r="F803" s="9" t="s">
        <v>231</v>
      </c>
      <c r="K803" s="9" t="s">
        <v>231</v>
      </c>
      <c r="L803" s="9" t="s">
        <v>231</v>
      </c>
      <c r="M803" s="9" t="s">
        <v>231</v>
      </c>
      <c r="N803" s="9" t="s">
        <v>231</v>
      </c>
    </row>
    <row r="804" spans="1:15">
      <c r="E804" s="9">
        <f t="shared" ref="E804:E815" si="474">ROW(E804)</f>
        <v>804</v>
      </c>
      <c r="F804" s="9" t="s">
        <v>95</v>
      </c>
      <c r="G804" s="23">
        <v>15</v>
      </c>
      <c r="H804" s="23">
        <v>4</v>
      </c>
      <c r="J804" s="23">
        <v>13400</v>
      </c>
      <c r="K804" s="9" t="s">
        <v>231</v>
      </c>
      <c r="L804" s="9" t="s">
        <v>231</v>
      </c>
      <c r="M804" s="9" t="s">
        <v>231</v>
      </c>
      <c r="N804" s="9" t="s">
        <v>231</v>
      </c>
      <c r="O804" s="23">
        <f t="shared" ref="O804" si="475">J804+D803</f>
        <v>13457</v>
      </c>
    </row>
    <row r="805" spans="1:15">
      <c r="E805" s="9">
        <f t="shared" si="474"/>
        <v>805</v>
      </c>
      <c r="F805" s="9" t="s">
        <v>145</v>
      </c>
      <c r="G805" s="23">
        <v>13301</v>
      </c>
      <c r="H805" s="23">
        <v>13302</v>
      </c>
      <c r="I805" s="23">
        <v>13303</v>
      </c>
      <c r="J805" s="23">
        <v>13304</v>
      </c>
      <c r="K805" s="9" t="s">
        <v>231</v>
      </c>
      <c r="L805" s="9" t="s">
        <v>231</v>
      </c>
      <c r="M805" s="9" t="s">
        <v>231</v>
      </c>
      <c r="N805" s="9" t="s">
        <v>231</v>
      </c>
      <c r="O805" s="23" cm="1">
        <f t="array" ref="O805">_xlfn.SWITCH(B803,1,G805,2,H805,3,I805,4,J805)</f>
        <v>13304</v>
      </c>
    </row>
    <row r="806" spans="1:15">
      <c r="E806" s="9">
        <f t="shared" si="474"/>
        <v>806</v>
      </c>
      <c r="F806" s="9" t="s">
        <v>128</v>
      </c>
      <c r="K806" s="9" t="s">
        <v>231</v>
      </c>
      <c r="L806" s="9" t="s">
        <v>231</v>
      </c>
      <c r="M806" s="9" t="s">
        <v>231</v>
      </c>
      <c r="N806" s="9" t="s">
        <v>231</v>
      </c>
      <c r="O806" s="23">
        <v>0</v>
      </c>
    </row>
    <row r="807" spans="1:15">
      <c r="E807" s="9">
        <f t="shared" si="474"/>
        <v>807</v>
      </c>
      <c r="F807" s="9" t="s">
        <v>200</v>
      </c>
      <c r="K807" s="9" t="s">
        <v>231</v>
      </c>
      <c r="L807" s="9" t="s">
        <v>231</v>
      </c>
      <c r="M807" s="9" t="s">
        <v>231</v>
      </c>
      <c r="N807" s="9" t="s">
        <v>231</v>
      </c>
      <c r="O807" s="23">
        <v>60</v>
      </c>
    </row>
    <row r="808" spans="1:15">
      <c r="E808" s="9">
        <f t="shared" si="474"/>
        <v>808</v>
      </c>
      <c r="F808" s="9" t="s">
        <v>29</v>
      </c>
      <c r="O808" s="23" t="s">
        <v>147</v>
      </c>
    </row>
    <row r="809" spans="1:15">
      <c r="E809" s="9">
        <f t="shared" si="474"/>
        <v>809</v>
      </c>
      <c r="F809" s="9" t="s">
        <v>118</v>
      </c>
      <c r="K809" s="9" t="s">
        <v>139</v>
      </c>
      <c r="O809" s="23">
        <v>2</v>
      </c>
    </row>
    <row r="810" spans="1:15">
      <c r="E810" s="9">
        <f t="shared" si="474"/>
        <v>810</v>
      </c>
      <c r="F810" s="9" t="s">
        <v>120</v>
      </c>
      <c r="G810" s="23" t="b">
        <f t="shared" ref="G810" si="476">MOD(B803,2)=0</f>
        <v>1</v>
      </c>
      <c r="H810" s="23" t="s">
        <v>146</v>
      </c>
      <c r="I810" s="23" t="s">
        <v>244</v>
      </c>
      <c r="O810" s="23" t="str">
        <f t="shared" ref="O810" si="477">IF(G810,H810,I810)</f>
        <v>Shot5_yellow</v>
      </c>
    </row>
    <row r="811" spans="1:15">
      <c r="E811" s="9">
        <f t="shared" si="474"/>
        <v>811</v>
      </c>
      <c r="F811" s="9" t="s">
        <v>30</v>
      </c>
      <c r="H811" s="23">
        <v>1.5</v>
      </c>
      <c r="I811" s="23">
        <v>1</v>
      </c>
      <c r="O811" s="23">
        <f t="shared" ref="O811" si="478">IF(B803&lt;=2,H811,I811)</f>
        <v>1</v>
      </c>
    </row>
    <row r="812" spans="1:15">
      <c r="E812" s="9">
        <f t="shared" si="474"/>
        <v>812</v>
      </c>
      <c r="F812" s="9" t="s">
        <v>31</v>
      </c>
      <c r="G812" s="23">
        <v>360</v>
      </c>
      <c r="L812" s="9" t="s">
        <v>136</v>
      </c>
      <c r="O812" s="23">
        <f t="shared" ref="O812" si="479">G812/G804*C803</f>
        <v>288</v>
      </c>
    </row>
    <row r="813" spans="1:15">
      <c r="E813" s="9">
        <f t="shared" si="474"/>
        <v>813</v>
      </c>
      <c r="F813" s="9" t="s">
        <v>100</v>
      </c>
      <c r="K813" s="9" t="s">
        <v>139</v>
      </c>
      <c r="O813" s="23">
        <v>2</v>
      </c>
    </row>
    <row r="814" spans="1:15">
      <c r="E814" s="9">
        <f t="shared" si="474"/>
        <v>814</v>
      </c>
      <c r="F814" s="9" t="s">
        <v>127</v>
      </c>
      <c r="O814" s="23">
        <v>1000</v>
      </c>
    </row>
    <row r="815" spans="1:15">
      <c r="E815" s="9">
        <f t="shared" si="474"/>
        <v>815</v>
      </c>
      <c r="F815" s="9" t="s">
        <v>99</v>
      </c>
      <c r="O815" s="23">
        <v>1200</v>
      </c>
    </row>
    <row r="816" spans="1:15">
      <c r="A816" s="22" t="s">
        <v>231</v>
      </c>
      <c r="B816" s="22">
        <f t="shared" ref="B816" si="480">QUOTIENT( D816-1,G817)+1</f>
        <v>4</v>
      </c>
      <c r="C816" s="22">
        <f t="shared" ref="C816" si="481">D816-(B816-1)*G817</f>
        <v>13</v>
      </c>
      <c r="D816" s="22">
        <f>COUNT($D$74:$D815)+1</f>
        <v>58</v>
      </c>
      <c r="F816" s="9" t="s">
        <v>231</v>
      </c>
      <c r="K816" s="9" t="s">
        <v>231</v>
      </c>
      <c r="L816" s="9" t="s">
        <v>231</v>
      </c>
      <c r="M816" s="9" t="s">
        <v>231</v>
      </c>
      <c r="N816" s="9" t="s">
        <v>231</v>
      </c>
    </row>
    <row r="817" spans="1:15">
      <c r="E817" s="9">
        <f t="shared" ref="E817:E828" si="482">ROW(E817)</f>
        <v>817</v>
      </c>
      <c r="F817" s="9" t="s">
        <v>95</v>
      </c>
      <c r="G817" s="23">
        <v>15</v>
      </c>
      <c r="H817" s="23">
        <v>4</v>
      </c>
      <c r="J817" s="23">
        <v>13400</v>
      </c>
      <c r="K817" s="9" t="s">
        <v>231</v>
      </c>
      <c r="L817" s="9" t="s">
        <v>231</v>
      </c>
      <c r="M817" s="9" t="s">
        <v>231</v>
      </c>
      <c r="N817" s="9" t="s">
        <v>231</v>
      </c>
      <c r="O817" s="23">
        <f t="shared" ref="O817" si="483">J817+D816</f>
        <v>13458</v>
      </c>
    </row>
    <row r="818" spans="1:15">
      <c r="E818" s="9">
        <f t="shared" si="482"/>
        <v>818</v>
      </c>
      <c r="F818" s="9" t="s">
        <v>145</v>
      </c>
      <c r="G818" s="23">
        <v>13301</v>
      </c>
      <c r="H818" s="23">
        <v>13302</v>
      </c>
      <c r="I818" s="23">
        <v>13303</v>
      </c>
      <c r="J818" s="23">
        <v>13304</v>
      </c>
      <c r="K818" s="9" t="s">
        <v>231</v>
      </c>
      <c r="L818" s="9" t="s">
        <v>231</v>
      </c>
      <c r="M818" s="9" t="s">
        <v>231</v>
      </c>
      <c r="N818" s="9" t="s">
        <v>231</v>
      </c>
      <c r="O818" s="23" cm="1">
        <f t="array" ref="O818">_xlfn.SWITCH(B816,1,G818,2,H818,3,I818,4,J818)</f>
        <v>13304</v>
      </c>
    </row>
    <row r="819" spans="1:15">
      <c r="E819" s="9">
        <f t="shared" si="482"/>
        <v>819</v>
      </c>
      <c r="F819" s="9" t="s">
        <v>128</v>
      </c>
      <c r="K819" s="9" t="s">
        <v>231</v>
      </c>
      <c r="L819" s="9" t="s">
        <v>231</v>
      </c>
      <c r="M819" s="9" t="s">
        <v>231</v>
      </c>
      <c r="N819" s="9" t="s">
        <v>231</v>
      </c>
      <c r="O819" s="23">
        <v>0</v>
      </c>
    </row>
    <row r="820" spans="1:15">
      <c r="E820" s="9">
        <f t="shared" si="482"/>
        <v>820</v>
      </c>
      <c r="F820" s="9" t="s">
        <v>200</v>
      </c>
      <c r="K820" s="9" t="s">
        <v>231</v>
      </c>
      <c r="L820" s="9" t="s">
        <v>231</v>
      </c>
      <c r="M820" s="9" t="s">
        <v>231</v>
      </c>
      <c r="N820" s="9" t="s">
        <v>231</v>
      </c>
      <c r="O820" s="23">
        <v>60</v>
      </c>
    </row>
    <row r="821" spans="1:15">
      <c r="E821" s="9">
        <f t="shared" si="482"/>
        <v>821</v>
      </c>
      <c r="F821" s="9" t="s">
        <v>29</v>
      </c>
      <c r="O821" s="23" t="s">
        <v>147</v>
      </c>
    </row>
    <row r="822" spans="1:15">
      <c r="E822" s="9">
        <f t="shared" si="482"/>
        <v>822</v>
      </c>
      <c r="F822" s="9" t="s">
        <v>118</v>
      </c>
      <c r="K822" s="9" t="s">
        <v>139</v>
      </c>
      <c r="O822" s="23">
        <v>2</v>
      </c>
    </row>
    <row r="823" spans="1:15">
      <c r="E823" s="9">
        <f t="shared" si="482"/>
        <v>823</v>
      </c>
      <c r="F823" s="9" t="s">
        <v>120</v>
      </c>
      <c r="G823" s="23" t="b">
        <f t="shared" ref="G823" si="484">MOD(B816,2)=0</f>
        <v>1</v>
      </c>
      <c r="H823" s="23" t="s">
        <v>146</v>
      </c>
      <c r="I823" s="23" t="s">
        <v>244</v>
      </c>
      <c r="O823" s="23" t="str">
        <f t="shared" ref="O823" si="485">IF(G823,H823,I823)</f>
        <v>Shot5_yellow</v>
      </c>
    </row>
    <row r="824" spans="1:15">
      <c r="E824" s="9">
        <f t="shared" si="482"/>
        <v>824</v>
      </c>
      <c r="F824" s="9" t="s">
        <v>30</v>
      </c>
      <c r="H824" s="23">
        <v>1.5</v>
      </c>
      <c r="I824" s="23">
        <v>1</v>
      </c>
      <c r="O824" s="23">
        <f t="shared" ref="O824" si="486">IF(B816&lt;=2,H824,I824)</f>
        <v>1</v>
      </c>
    </row>
    <row r="825" spans="1:15">
      <c r="E825" s="9">
        <f t="shared" si="482"/>
        <v>825</v>
      </c>
      <c r="F825" s="9" t="s">
        <v>31</v>
      </c>
      <c r="G825" s="23">
        <v>360</v>
      </c>
      <c r="L825" s="9" t="s">
        <v>136</v>
      </c>
      <c r="O825" s="23">
        <f t="shared" ref="O825" si="487">G825/G817*C816</f>
        <v>312</v>
      </c>
    </row>
    <row r="826" spans="1:15">
      <c r="E826" s="9">
        <f t="shared" si="482"/>
        <v>826</v>
      </c>
      <c r="F826" s="9" t="s">
        <v>100</v>
      </c>
      <c r="K826" s="9" t="s">
        <v>139</v>
      </c>
      <c r="O826" s="23">
        <v>2</v>
      </c>
    </row>
    <row r="827" spans="1:15">
      <c r="E827" s="9">
        <f t="shared" si="482"/>
        <v>827</v>
      </c>
      <c r="F827" s="9" t="s">
        <v>127</v>
      </c>
      <c r="O827" s="23">
        <v>1000</v>
      </c>
    </row>
    <row r="828" spans="1:15">
      <c r="E828" s="9">
        <f t="shared" si="482"/>
        <v>828</v>
      </c>
      <c r="F828" s="9" t="s">
        <v>99</v>
      </c>
      <c r="O828" s="23">
        <v>1200</v>
      </c>
    </row>
    <row r="829" spans="1:15">
      <c r="A829" s="22" t="s">
        <v>231</v>
      </c>
      <c r="B829" s="22">
        <f t="shared" ref="B829" si="488">QUOTIENT( D829-1,G830)+1</f>
        <v>4</v>
      </c>
      <c r="C829" s="22">
        <f t="shared" ref="C829" si="489">D829-(B829-1)*G830</f>
        <v>14</v>
      </c>
      <c r="D829" s="22">
        <f>COUNT($D$74:$D828)+1</f>
        <v>59</v>
      </c>
      <c r="F829" s="9" t="s">
        <v>231</v>
      </c>
      <c r="K829" s="9" t="s">
        <v>231</v>
      </c>
      <c r="L829" s="9" t="s">
        <v>231</v>
      </c>
      <c r="M829" s="9" t="s">
        <v>231</v>
      </c>
      <c r="N829" s="9" t="s">
        <v>231</v>
      </c>
    </row>
    <row r="830" spans="1:15">
      <c r="E830" s="9">
        <f t="shared" ref="E830:E841" si="490">ROW(E830)</f>
        <v>830</v>
      </c>
      <c r="F830" s="9" t="s">
        <v>95</v>
      </c>
      <c r="G830" s="23">
        <v>15</v>
      </c>
      <c r="H830" s="23">
        <v>4</v>
      </c>
      <c r="J830" s="23">
        <v>13400</v>
      </c>
      <c r="K830" s="9" t="s">
        <v>231</v>
      </c>
      <c r="L830" s="9" t="s">
        <v>231</v>
      </c>
      <c r="M830" s="9" t="s">
        <v>231</v>
      </c>
      <c r="N830" s="9" t="s">
        <v>231</v>
      </c>
      <c r="O830" s="23">
        <f t="shared" ref="O830" si="491">J830+D829</f>
        <v>13459</v>
      </c>
    </row>
    <row r="831" spans="1:15">
      <c r="E831" s="9">
        <f t="shared" si="490"/>
        <v>831</v>
      </c>
      <c r="F831" s="9" t="s">
        <v>145</v>
      </c>
      <c r="G831" s="23">
        <v>13301</v>
      </c>
      <c r="H831" s="23">
        <v>13302</v>
      </c>
      <c r="I831" s="23">
        <v>13303</v>
      </c>
      <c r="J831" s="23">
        <v>13304</v>
      </c>
      <c r="K831" s="9" t="s">
        <v>231</v>
      </c>
      <c r="L831" s="9" t="s">
        <v>231</v>
      </c>
      <c r="M831" s="9" t="s">
        <v>231</v>
      </c>
      <c r="N831" s="9" t="s">
        <v>231</v>
      </c>
      <c r="O831" s="23" cm="1">
        <f t="array" ref="O831">_xlfn.SWITCH(B829,1,G831,2,H831,3,I831,4,J831)</f>
        <v>13304</v>
      </c>
    </row>
    <row r="832" spans="1:15">
      <c r="E832" s="9">
        <f t="shared" si="490"/>
        <v>832</v>
      </c>
      <c r="F832" s="9" t="s">
        <v>128</v>
      </c>
      <c r="K832" s="9" t="s">
        <v>231</v>
      </c>
      <c r="L832" s="9" t="s">
        <v>231</v>
      </c>
      <c r="M832" s="9" t="s">
        <v>231</v>
      </c>
      <c r="N832" s="9" t="s">
        <v>231</v>
      </c>
      <c r="O832" s="23">
        <v>0</v>
      </c>
    </row>
    <row r="833" spans="1:15">
      <c r="E833" s="9">
        <f t="shared" si="490"/>
        <v>833</v>
      </c>
      <c r="F833" s="9" t="s">
        <v>200</v>
      </c>
      <c r="K833" s="9" t="s">
        <v>231</v>
      </c>
      <c r="L833" s="9" t="s">
        <v>231</v>
      </c>
      <c r="M833" s="9" t="s">
        <v>231</v>
      </c>
      <c r="N833" s="9" t="s">
        <v>231</v>
      </c>
      <c r="O833" s="23">
        <v>60</v>
      </c>
    </row>
    <row r="834" spans="1:15">
      <c r="E834" s="9">
        <f t="shared" si="490"/>
        <v>834</v>
      </c>
      <c r="F834" s="9" t="s">
        <v>29</v>
      </c>
      <c r="O834" s="23" t="s">
        <v>147</v>
      </c>
    </row>
    <row r="835" spans="1:15">
      <c r="E835" s="9">
        <f t="shared" si="490"/>
        <v>835</v>
      </c>
      <c r="F835" s="9" t="s">
        <v>118</v>
      </c>
      <c r="K835" s="9" t="s">
        <v>139</v>
      </c>
      <c r="O835" s="23">
        <v>2</v>
      </c>
    </row>
    <row r="836" spans="1:15">
      <c r="E836" s="9">
        <f t="shared" si="490"/>
        <v>836</v>
      </c>
      <c r="F836" s="9" t="s">
        <v>120</v>
      </c>
      <c r="G836" s="23" t="b">
        <f t="shared" ref="G836" si="492">MOD(B829,2)=0</f>
        <v>1</v>
      </c>
      <c r="H836" s="23" t="s">
        <v>146</v>
      </c>
      <c r="I836" s="23" t="s">
        <v>244</v>
      </c>
      <c r="O836" s="23" t="str">
        <f t="shared" ref="O836" si="493">IF(G836,H836,I836)</f>
        <v>Shot5_yellow</v>
      </c>
    </row>
    <row r="837" spans="1:15">
      <c r="E837" s="9">
        <f t="shared" si="490"/>
        <v>837</v>
      </c>
      <c r="F837" s="9" t="s">
        <v>30</v>
      </c>
      <c r="H837" s="23">
        <v>1.5</v>
      </c>
      <c r="I837" s="23">
        <v>1</v>
      </c>
      <c r="O837" s="23">
        <f t="shared" ref="O837" si="494">IF(B829&lt;=2,H837,I837)</f>
        <v>1</v>
      </c>
    </row>
    <row r="838" spans="1:15">
      <c r="E838" s="9">
        <f t="shared" si="490"/>
        <v>838</v>
      </c>
      <c r="F838" s="9" t="s">
        <v>31</v>
      </c>
      <c r="G838" s="23">
        <v>360</v>
      </c>
      <c r="L838" s="9" t="s">
        <v>136</v>
      </c>
      <c r="O838" s="23">
        <f t="shared" ref="O838" si="495">G838/G830*C829</f>
        <v>336</v>
      </c>
    </row>
    <row r="839" spans="1:15">
      <c r="E839" s="9">
        <f t="shared" si="490"/>
        <v>839</v>
      </c>
      <c r="F839" s="9" t="s">
        <v>100</v>
      </c>
      <c r="K839" s="9" t="s">
        <v>139</v>
      </c>
      <c r="O839" s="23">
        <v>2</v>
      </c>
    </row>
    <row r="840" spans="1:15">
      <c r="E840" s="9">
        <f t="shared" si="490"/>
        <v>840</v>
      </c>
      <c r="F840" s="9" t="s">
        <v>127</v>
      </c>
      <c r="O840" s="23">
        <v>1000</v>
      </c>
    </row>
    <row r="841" spans="1:15">
      <c r="E841" s="9">
        <f t="shared" si="490"/>
        <v>841</v>
      </c>
      <c r="F841" s="9" t="s">
        <v>99</v>
      </c>
      <c r="O841" s="23">
        <v>1200</v>
      </c>
    </row>
    <row r="842" spans="1:15">
      <c r="A842" s="22" t="s">
        <v>231</v>
      </c>
      <c r="B842" s="22">
        <f t="shared" ref="B842" si="496">QUOTIENT( D842-1,G843)+1</f>
        <v>4</v>
      </c>
      <c r="C842" s="22">
        <f t="shared" ref="C842" si="497">D842-(B842-1)*G843</f>
        <v>15</v>
      </c>
      <c r="D842" s="22">
        <f>COUNT($D$74:$D841)+1</f>
        <v>60</v>
      </c>
      <c r="F842" s="9" t="s">
        <v>231</v>
      </c>
      <c r="K842" s="9" t="s">
        <v>231</v>
      </c>
      <c r="L842" s="9" t="s">
        <v>231</v>
      </c>
      <c r="M842" s="9" t="s">
        <v>231</v>
      </c>
      <c r="N842" s="9" t="s">
        <v>231</v>
      </c>
    </row>
    <row r="843" spans="1:15">
      <c r="E843" s="9">
        <f t="shared" ref="E843:E854" si="498">ROW(E843)</f>
        <v>843</v>
      </c>
      <c r="F843" s="9" t="s">
        <v>95</v>
      </c>
      <c r="G843" s="23">
        <v>15</v>
      </c>
      <c r="H843" s="23">
        <v>4</v>
      </c>
      <c r="J843" s="23">
        <v>13400</v>
      </c>
      <c r="K843" s="9" t="s">
        <v>231</v>
      </c>
      <c r="L843" s="9" t="s">
        <v>231</v>
      </c>
      <c r="M843" s="9" t="s">
        <v>231</v>
      </c>
      <c r="N843" s="9" t="s">
        <v>231</v>
      </c>
      <c r="O843" s="23">
        <f t="shared" ref="O843" si="499">J843+D842</f>
        <v>13460</v>
      </c>
    </row>
    <row r="844" spans="1:15">
      <c r="E844" s="9">
        <f t="shared" si="498"/>
        <v>844</v>
      </c>
      <c r="F844" s="9" t="s">
        <v>145</v>
      </c>
      <c r="G844" s="23">
        <v>13301</v>
      </c>
      <c r="H844" s="23">
        <v>13302</v>
      </c>
      <c r="I844" s="23">
        <v>13303</v>
      </c>
      <c r="J844" s="23">
        <v>13304</v>
      </c>
      <c r="K844" s="9" t="s">
        <v>231</v>
      </c>
      <c r="L844" s="9" t="s">
        <v>231</v>
      </c>
      <c r="M844" s="9" t="s">
        <v>231</v>
      </c>
      <c r="N844" s="9" t="s">
        <v>231</v>
      </c>
      <c r="O844" s="23" cm="1">
        <f t="array" ref="O844">_xlfn.SWITCH(B842,1,G844,2,H844,3,I844,4,J844)</f>
        <v>13304</v>
      </c>
    </row>
    <row r="845" spans="1:15">
      <c r="E845" s="9">
        <f t="shared" si="498"/>
        <v>845</v>
      </c>
      <c r="F845" s="9" t="s">
        <v>128</v>
      </c>
      <c r="K845" s="9" t="s">
        <v>231</v>
      </c>
      <c r="L845" s="9" t="s">
        <v>231</v>
      </c>
      <c r="M845" s="9" t="s">
        <v>231</v>
      </c>
      <c r="N845" s="9" t="s">
        <v>231</v>
      </c>
      <c r="O845" s="23">
        <v>0</v>
      </c>
    </row>
    <row r="846" spans="1:15">
      <c r="E846" s="9">
        <f t="shared" si="498"/>
        <v>846</v>
      </c>
      <c r="F846" s="9" t="s">
        <v>200</v>
      </c>
      <c r="K846" s="9" t="s">
        <v>231</v>
      </c>
      <c r="L846" s="9" t="s">
        <v>231</v>
      </c>
      <c r="M846" s="9" t="s">
        <v>231</v>
      </c>
      <c r="N846" s="9" t="s">
        <v>231</v>
      </c>
      <c r="O846" s="23">
        <v>60</v>
      </c>
    </row>
    <row r="847" spans="1:15">
      <c r="E847" s="9">
        <f t="shared" si="498"/>
        <v>847</v>
      </c>
      <c r="F847" s="9" t="s">
        <v>29</v>
      </c>
      <c r="O847" s="23" t="s">
        <v>147</v>
      </c>
    </row>
    <row r="848" spans="1:15">
      <c r="E848" s="9">
        <f t="shared" si="498"/>
        <v>848</v>
      </c>
      <c r="F848" s="9" t="s">
        <v>118</v>
      </c>
      <c r="K848" s="9" t="s">
        <v>139</v>
      </c>
      <c r="O848" s="23">
        <v>2</v>
      </c>
    </row>
    <row r="849" spans="5:15">
      <c r="E849" s="9">
        <f t="shared" si="498"/>
        <v>849</v>
      </c>
      <c r="F849" s="9" t="s">
        <v>120</v>
      </c>
      <c r="G849" s="23" t="b">
        <f t="shared" ref="G849" si="500">MOD(B842,2)=0</f>
        <v>1</v>
      </c>
      <c r="H849" s="23" t="s">
        <v>146</v>
      </c>
      <c r="I849" s="23" t="s">
        <v>244</v>
      </c>
      <c r="O849" s="23" t="str">
        <f t="shared" ref="O849" si="501">IF(G849,H849,I849)</f>
        <v>Shot5_yellow</v>
      </c>
    </row>
    <row r="850" spans="5:15">
      <c r="E850" s="9">
        <f t="shared" si="498"/>
        <v>850</v>
      </c>
      <c r="F850" s="9" t="s">
        <v>30</v>
      </c>
      <c r="H850" s="23">
        <v>1.5</v>
      </c>
      <c r="I850" s="23">
        <v>1</v>
      </c>
      <c r="O850" s="23">
        <f t="shared" ref="O850" si="502">IF(B842&lt;=2,H850,I850)</f>
        <v>1</v>
      </c>
    </row>
    <row r="851" spans="5:15">
      <c r="E851" s="9">
        <f t="shared" si="498"/>
        <v>851</v>
      </c>
      <c r="F851" s="9" t="s">
        <v>31</v>
      </c>
      <c r="G851" s="23">
        <v>360</v>
      </c>
      <c r="L851" s="9" t="s">
        <v>136</v>
      </c>
      <c r="O851" s="23">
        <f t="shared" ref="O851" si="503">G851/G843*C842</f>
        <v>360</v>
      </c>
    </row>
    <row r="852" spans="5:15">
      <c r="E852" s="9">
        <f t="shared" si="498"/>
        <v>852</v>
      </c>
      <c r="F852" s="9" t="s">
        <v>100</v>
      </c>
      <c r="K852" s="9" t="s">
        <v>139</v>
      </c>
      <c r="O852" s="23">
        <v>2</v>
      </c>
    </row>
    <row r="853" spans="5:15">
      <c r="E853" s="9">
        <f t="shared" si="498"/>
        <v>853</v>
      </c>
      <c r="F853" s="9" t="s">
        <v>127</v>
      </c>
      <c r="O853" s="23">
        <v>1000</v>
      </c>
    </row>
    <row r="854" spans="5:15">
      <c r="E854" s="9">
        <f t="shared" si="498"/>
        <v>854</v>
      </c>
      <c r="F854" s="9" t="s">
        <v>99</v>
      </c>
      <c r="O854" s="23">
        <v>1200</v>
      </c>
    </row>
  </sheetData>
  <phoneticPr fontId="2" type="noConversion"/>
  <conditionalFormatting sqref="N1">
    <cfRule type="duplicateValues" dxfId="64" priority="604"/>
  </conditionalFormatting>
  <conditionalFormatting sqref="P1:BF1">
    <cfRule type="duplicateValues" dxfId="63" priority="603"/>
  </conditionalFormatting>
  <conditionalFormatting sqref="BG1:XFD1 E1:M1">
    <cfRule type="duplicateValues" dxfId="62" priority="683"/>
  </conditionalFormatting>
  <conditionalFormatting sqref="G73 F1:F1048576">
    <cfRule type="cellIs" dxfId="61" priority="176" operator="equal">
      <formula>"行動ID"</formula>
    </cfRule>
    <cfRule type="cellIs" dxfId="60" priority="184" operator="equal">
      <formula>"ID"</formula>
    </cfRule>
    <cfRule type="cellIs" dxfId="59" priority="599" operator="equal">
      <formula>"行動序號"</formula>
    </cfRule>
  </conditionalFormatting>
  <conditionalFormatting sqref="G73 F1:F1048576">
    <cfRule type="cellIs" dxfId="58" priority="46" operator="equal">
      <formula>"行動ID"</formula>
    </cfRule>
  </conditionalFormatting>
  <conditionalFormatting sqref="F1:F5 F9 F76 F104 F127 F150 F173 F196 F219 F242 F265">
    <cfRule type="cellIs" dxfId="57" priority="42" operator="equal">
      <formula>"行動ID"</formula>
    </cfRule>
  </conditionalFormatting>
  <conditionalFormatting sqref="F88:F90 F111:F113 F134:F136 F157:F159 F180:F182 F203:F205 F226:F228 F249:F251 F272:F274">
    <cfRule type="cellIs" dxfId="56" priority="35" operator="equal">
      <formula>"行動ID"</formula>
    </cfRule>
  </conditionalFormatting>
  <conditionalFormatting sqref="F109 F132 F155 F178 F201 F224 F247 F270 F83:F84">
    <cfRule type="cellIs" dxfId="55" priority="23" operator="equal">
      <formula>"行動ID"</formula>
    </cfRule>
  </conditionalFormatting>
  <conditionalFormatting sqref="I21">
    <cfRule type="cellIs" dxfId="54" priority="20" operator="equal">
      <formula>"行動ID"</formula>
    </cfRule>
  </conditionalFormatting>
  <conditionalFormatting sqref="F21 F110 F133 F156 F179 F202 F225 F248 F271 F85:F87">
    <cfRule type="cellIs" dxfId="53" priority="19" operator="equal">
      <formula>"行動ID"</formula>
    </cfRule>
  </conditionalFormatting>
  <conditionalFormatting sqref="F21 F110 F133 F156 F179 F202 F225 F248 F271 F85:F87">
    <cfRule type="cellIs" dxfId="52" priority="18" operator="equal">
      <formula>"行動ID"</formula>
    </cfRule>
  </conditionalFormatting>
  <conditionalFormatting sqref="F95 F118 F141 F164 F187 F210 F233 F256 F279">
    <cfRule type="cellIs" dxfId="51" priority="13" operator="equal">
      <formula>"行動ID"</formula>
    </cfRule>
  </conditionalFormatting>
  <conditionalFormatting sqref="F96 F119 F142 F165 F188 F211 F234 F257 F280">
    <cfRule type="cellIs" dxfId="50" priority="12" operator="equal">
      <formula>"行動ID"</formula>
    </cfRule>
  </conditionalFormatting>
  <conditionalFormatting sqref="F96 F119 F142 F165 F188 F211 F234 F257 F280">
    <cfRule type="cellIs" dxfId="49" priority="11" operator="equal">
      <formula>"行動ID"</formula>
    </cfRule>
  </conditionalFormatting>
  <conditionalFormatting sqref="F101 F124 F147 F170 F193 F216 F239 F262">
    <cfRule type="cellIs" dxfId="48" priority="10" operator="equal">
      <formula>"行動ID"</formula>
    </cfRule>
  </conditionalFormatting>
  <conditionalFormatting sqref="F102 F125 F148 F171 F194 F217 F240 F263">
    <cfRule type="cellIs" dxfId="47" priority="9" operator="equal">
      <formula>"行動ID"</formula>
    </cfRule>
  </conditionalFormatting>
  <conditionalFormatting sqref="F102 F125 F148 F171 F194 F217 F240 F263">
    <cfRule type="cellIs" dxfId="46" priority="8" operator="equal">
      <formula>"行動ID"</formula>
    </cfRule>
  </conditionalFormatting>
  <conditionalFormatting sqref="H21 G12:G18 H11 O1:O1048576">
    <cfRule type="expression" dxfId="45" priority="7">
      <formula>OR(#REF!="行動序號",#REF!="ID")</formula>
    </cfRule>
  </conditionalFormatting>
  <conditionalFormatting sqref="H21 G12:G18 H11:I11 O1:O1048576">
    <cfRule type="expression" dxfId="44" priority="6">
      <formula>_xlfn.ISFORMULA(G1)</formula>
    </cfRule>
  </conditionalFormatting>
  <conditionalFormatting sqref="H21 G12:G18 H11 O1:O1048576">
    <cfRule type="expression" dxfId="43" priority="5">
      <formula>#REF!="行動ID"</formula>
    </cfRule>
  </conditionalFormatting>
  <conditionalFormatting sqref="I11">
    <cfRule type="expression" dxfId="42" priority="916">
      <formula>OR(#REF!="行動序號",#REF!="ID")</formula>
    </cfRule>
  </conditionalFormatting>
  <conditionalFormatting sqref="I11">
    <cfRule type="expression" dxfId="41" priority="920">
      <formula>#REF!="行動ID"</formula>
    </cfRule>
  </conditionalFormatting>
  <conditionalFormatting sqref="F81">
    <cfRule type="cellIs" dxfId="40" priority="4" operator="equal">
      <formula>"行動ID"</formula>
    </cfRule>
  </conditionalFormatting>
  <conditionalFormatting sqref="F81">
    <cfRule type="cellIs" dxfId="39" priority="3" operator="equal">
      <formula>"行動ID"</formula>
    </cfRule>
  </conditionalFormatting>
  <dataValidations disablePrompts="1" count="1">
    <dataValidation type="list" allowBlank="1" showInputMessage="1" showErrorMessage="1" sqref="M2:M5 G5:J5 G2:J3 F2:F5 K2:K5 K71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7F07C-27DC-4842-8D3F-F2D525BE7D8A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50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5D363919-4AB5-4D5A-BAE4-B473D958EA25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D8CD-58DD-4255-B9C5-6B0CE11540F8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149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150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232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151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152</v>
      </c>
      <c r="C17" s="7" t="s">
        <v>233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153</v>
      </c>
      <c r="E20" t="str">
        <f t="shared" si="0"/>
        <v>啟動依ID,</v>
      </c>
      <c r="H20"/>
    </row>
    <row r="21" spans="1:8">
      <c r="A21" s="7" t="s">
        <v>27</v>
      </c>
      <c r="B21" s="7" t="s">
        <v>148</v>
      </c>
      <c r="C21" s="7" t="s">
        <v>154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155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156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157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158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159</v>
      </c>
      <c r="C26" s="7" t="s">
        <v>160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161</v>
      </c>
      <c r="C27" s="7" t="s">
        <v>162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163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164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165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166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167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168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169</v>
      </c>
      <c r="C36" s="7" t="s">
        <v>170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171</v>
      </c>
      <c r="C37" s="7" t="s">
        <v>172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173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174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175</v>
      </c>
      <c r="E42" t="str">
        <f t="shared" si="0"/>
        <v>死亡時間,</v>
      </c>
      <c r="H42"/>
    </row>
    <row r="43" spans="1:8">
      <c r="A43" s="7" t="s">
        <v>27</v>
      </c>
      <c r="B43" s="7" t="s">
        <v>229</v>
      </c>
      <c r="C43" s="7" t="s">
        <v>230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176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177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178</v>
      </c>
      <c r="E48" t="str">
        <f t="shared" si="0"/>
        <v>位置參數,</v>
      </c>
      <c r="H48"/>
    </row>
    <row r="49" spans="1:8">
      <c r="A49" s="7" t="s">
        <v>27</v>
      </c>
      <c r="B49" s="7" t="s">
        <v>179</v>
      </c>
      <c r="C49" s="7" t="s">
        <v>180</v>
      </c>
      <c r="E49" t="str">
        <f t="shared" si="0"/>
        <v>加位置,</v>
      </c>
      <c r="H49"/>
    </row>
    <row r="50" spans="1:8">
      <c r="A50" s="7" t="s">
        <v>27</v>
      </c>
      <c r="B50" s="7" t="s">
        <v>256</v>
      </c>
      <c r="C50" s="7" t="s">
        <v>257</v>
      </c>
      <c r="E50" t="str">
        <f t="shared" si="0"/>
        <v>記錄位置,</v>
      </c>
      <c r="H50"/>
    </row>
    <row r="51" spans="1:8">
      <c r="A51" s="7" t="s">
        <v>27</v>
      </c>
      <c r="B51" s="7" t="s">
        <v>258</v>
      </c>
      <c r="C51" s="7" t="s">
        <v>259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181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182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183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184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185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186</v>
      </c>
      <c r="C59" s="7" t="s">
        <v>187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188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234</v>
      </c>
      <c r="C61" s="7" t="s">
        <v>235</v>
      </c>
      <c r="E61" t="str">
        <f t="shared" si="0"/>
        <v>子旋轉角度,</v>
      </c>
      <c r="H61"/>
    </row>
    <row r="62" spans="1:8">
      <c r="A62" s="7" t="s">
        <v>27</v>
      </c>
      <c r="B62" s="27" t="s">
        <v>236</v>
      </c>
      <c r="C62" s="7" t="s">
        <v>237</v>
      </c>
      <c r="E62" t="str">
        <f t="shared" si="0"/>
        <v>子加旋轉角度,</v>
      </c>
      <c r="H62"/>
    </row>
    <row r="63" spans="1:8">
      <c r="A63" s="7" t="s">
        <v>27</v>
      </c>
      <c r="B63" s="7" t="s">
        <v>260</v>
      </c>
      <c r="C63" s="7" t="s">
        <v>261</v>
      </c>
      <c r="E63" t="str">
        <f t="shared" si="0"/>
        <v>記錄角度,</v>
      </c>
      <c r="H63"/>
    </row>
    <row r="64" spans="1:8">
      <c r="A64" s="7" t="s">
        <v>27</v>
      </c>
      <c r="B64" s="7" t="s">
        <v>263</v>
      </c>
      <c r="C64" s="7" t="s">
        <v>262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189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190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191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192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193</v>
      </c>
      <c r="C73" s="7" t="s">
        <v>194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195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196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197</v>
      </c>
      <c r="E76" t="str">
        <f t="shared" si="0"/>
        <v>回收距離,</v>
      </c>
      <c r="H76"/>
    </row>
    <row r="77" spans="1:11">
      <c r="A77" s="7" t="s">
        <v>27</v>
      </c>
      <c r="B77" s="7" t="s">
        <v>198</v>
      </c>
      <c r="C77" s="7" t="s">
        <v>199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200</v>
      </c>
      <c r="C78" s="7" t="s">
        <v>201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202</v>
      </c>
      <c r="C79" s="7" t="s">
        <v>203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204</v>
      </c>
      <c r="C80" s="7" t="s">
        <v>205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206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207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208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209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210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211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212</v>
      </c>
      <c r="C91" s="7" t="s">
        <v>213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214</v>
      </c>
      <c r="C92" s="7" t="s">
        <v>215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216</v>
      </c>
      <c r="C93" s="7" t="s">
        <v>217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218</v>
      </c>
      <c r="C94" s="7" t="s">
        <v>219</v>
      </c>
      <c r="E94" t="str">
        <f t="shared" si="1"/>
        <v>玩家Shift,</v>
      </c>
      <c r="H94"/>
    </row>
    <row r="95" spans="1:11">
      <c r="A95" s="7" t="s">
        <v>27</v>
      </c>
      <c r="B95" s="7" t="s">
        <v>220</v>
      </c>
      <c r="C95" s="7" t="s">
        <v>221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222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223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224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225</v>
      </c>
      <c r="C114" s="7" t="s">
        <v>22</v>
      </c>
      <c r="D114" s="7"/>
      <c r="L114" s="7"/>
    </row>
    <row r="115" spans="1:12">
      <c r="A115" s="7" t="s">
        <v>143</v>
      </c>
      <c r="B115" s="7" t="s">
        <v>226</v>
      </c>
      <c r="C115" s="7" t="s">
        <v>23</v>
      </c>
      <c r="H115"/>
    </row>
    <row r="116" spans="1:12">
      <c r="A116" s="7" t="s">
        <v>143</v>
      </c>
      <c r="B116" s="7" t="s">
        <v>264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C101-4F0A-4176-B740-3DB9208F7486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4" t="s">
        <v>227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228</v>
      </c>
      <c r="D4" s="20"/>
      <c r="G4" s="9"/>
      <c r="H4" s="18"/>
    </row>
    <row r="5" spans="1:10" ht="17.25" customHeight="1">
      <c r="A5" s="20" t="s">
        <v>101</v>
      </c>
      <c r="B5" s="20" t="s">
        <v>222</v>
      </c>
      <c r="C5" s="20" t="s">
        <v>225</v>
      </c>
      <c r="D5" s="20"/>
      <c r="G5" s="9"/>
    </row>
    <row r="6" spans="1:10">
      <c r="A6" s="20" t="s">
        <v>104</v>
      </c>
      <c r="B6" s="20" t="s">
        <v>223</v>
      </c>
      <c r="C6" s="20" t="s">
        <v>226</v>
      </c>
      <c r="D6" s="20"/>
      <c r="G6" s="9"/>
    </row>
    <row r="7" spans="1:10">
      <c r="A7" s="20" t="s">
        <v>49</v>
      </c>
      <c r="B7" s="20" t="s">
        <v>224</v>
      </c>
      <c r="C7" s="26" t="s">
        <v>264</v>
      </c>
      <c r="D7" s="20"/>
      <c r="G7" s="9"/>
    </row>
    <row r="8" spans="1:10">
      <c r="A8" s="20" t="s">
        <v>150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232</v>
      </c>
      <c r="B10" s="20"/>
      <c r="C10" s="20"/>
      <c r="D10" s="20"/>
      <c r="G10" s="9"/>
    </row>
    <row r="11" spans="1:10">
      <c r="A11" s="20" t="s">
        <v>151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152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148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159</v>
      </c>
      <c r="C26"/>
      <c r="G26" s="9"/>
    </row>
    <row r="27" spans="1:7">
      <c r="A27" s="20" t="s">
        <v>161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169</v>
      </c>
      <c r="C36"/>
    </row>
    <row r="37" spans="1:7">
      <c r="A37" s="20" t="s">
        <v>171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229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179</v>
      </c>
      <c r="C49"/>
      <c r="G49" s="9"/>
    </row>
    <row r="50" spans="1:8">
      <c r="A50" s="27" t="s">
        <v>260</v>
      </c>
      <c r="C50"/>
      <c r="G50" s="9"/>
    </row>
    <row r="51" spans="1:8">
      <c r="A51" s="27" t="s">
        <v>265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238</v>
      </c>
      <c r="C57"/>
      <c r="G57" s="9"/>
    </row>
    <row r="58" spans="1:8">
      <c r="A58" s="20" t="s">
        <v>134</v>
      </c>
      <c r="G58" s="9"/>
    </row>
    <row r="59" spans="1:8">
      <c r="A59" s="20" t="s">
        <v>186</v>
      </c>
      <c r="G59" s="9"/>
    </row>
    <row r="60" spans="1:8">
      <c r="A60" s="20" t="s">
        <v>116</v>
      </c>
      <c r="G60" s="9"/>
    </row>
    <row r="61" spans="1:8">
      <c r="A61" s="27" t="s">
        <v>234</v>
      </c>
      <c r="G61" s="9"/>
    </row>
    <row r="62" spans="1:8">
      <c r="A62" s="27" t="s">
        <v>236</v>
      </c>
      <c r="G62" s="9"/>
    </row>
    <row r="63" spans="1:8">
      <c r="A63" s="27" t="s">
        <v>260</v>
      </c>
      <c r="G63" s="9"/>
    </row>
    <row r="64" spans="1:8">
      <c r="A64" s="27" t="s">
        <v>263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193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198</v>
      </c>
      <c r="G77" s="9"/>
    </row>
    <row r="78" spans="1:7">
      <c r="A78" s="20" t="s">
        <v>200</v>
      </c>
      <c r="G78" s="9"/>
    </row>
    <row r="79" spans="1:7">
      <c r="A79" s="20" t="s">
        <v>202</v>
      </c>
    </row>
    <row r="80" spans="1:7">
      <c r="A80" s="20" t="s">
        <v>204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212</v>
      </c>
    </row>
    <row r="92" spans="1:1">
      <c r="A92" s="20" t="s">
        <v>214</v>
      </c>
    </row>
    <row r="93" spans="1:1">
      <c r="A93" s="20" t="s">
        <v>216</v>
      </c>
    </row>
    <row r="94" spans="1:1">
      <c r="A94" s="20" t="s">
        <v>218</v>
      </c>
    </row>
    <row r="95" spans="1:1">
      <c r="A95" s="20" t="s">
        <v>220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7EF21ADF-0513-4114-9FD2-70FA99CCD9ED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496A8-4B2A-4182-A580-451E00B8F873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B042-E8D8-4640-9983-FA056FE19F7B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C80F2-77EB-4336-AB92-41C29BA71B84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stage7_7bigShot1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2025-04-16T06:38:18Z</dcterms:modified>
</cp:coreProperties>
</file>