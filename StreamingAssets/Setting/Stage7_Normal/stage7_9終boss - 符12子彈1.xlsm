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1B70637-47DD-412E-B177-4A4A72E9A4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2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'#OPTION'!$C$2:$C$8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1" l="1"/>
  <c r="E32" i="1"/>
  <c r="E31" i="1"/>
  <c r="E30" i="1"/>
  <c r="E29" i="1"/>
  <c r="E27" i="1"/>
  <c r="E26" i="1"/>
  <c r="E25" i="1"/>
  <c r="M24" i="1"/>
  <c r="M34" i="1" s="1"/>
  <c r="E24" i="1"/>
  <c r="D23" i="1"/>
  <c r="C23" i="1" s="1"/>
  <c r="M32" i="1" s="1" a="1"/>
  <c r="M32" i="1" s="1"/>
  <c r="B23" i="1"/>
  <c r="E18" i="1"/>
  <c r="E17" i="1"/>
  <c r="E19" i="1"/>
  <c r="M35" i="1" l="1"/>
  <c r="E16" i="1"/>
  <c r="E15" i="1" l="1"/>
  <c r="E13" i="1"/>
  <c r="E12" i="1"/>
  <c r="E11" i="1"/>
  <c r="E10" i="1"/>
  <c r="D9" i="1"/>
  <c r="B9" i="1" l="1"/>
  <c r="M10" i="1"/>
  <c r="A8" i="1"/>
  <c r="M21" i="1" l="1"/>
  <c r="M20" i="1"/>
  <c r="C9" i="1"/>
  <c r="M18" i="1" s="1" a="1"/>
  <c r="M18" i="1" s="1"/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<sst xmlns="http://schemas.openxmlformats.org/spreadsheetml/2006/main" count="474" uniqueCount="251">
  <si>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</si>
  <si>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</si>
  <si>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</si>
  <si>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</si>
  <si>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</si>
  <si>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</si>
  <si>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</si>
  <si>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</si>
  <si>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</si>
  <si>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</si>
  <si>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</si>
  <si>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</si>
  <si>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</si>
  <si>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</si>
  <si>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</si>
  <si>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</si>
  <si>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</si>
  <si>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</si>
  <si>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</si>
  <si>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</si>
  <si>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</si>
  <si>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</si>
  <si>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</si>
  <si>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</si>
  <si>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</si>
  <si>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</si>
  <si>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</si>
  <si>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</si>
  <si>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</si>
  <si>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</si>
  <si>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</si>
  <si>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</si>
  <si>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</si>
  <si>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</si>
  <si>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</si>
  <si>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</si>
  <si>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</si>
  <si>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</si>
  <si>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</si>
  <si>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</si>
  <si>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</si>
  <si>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</si>
  <si>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</si>
  <si>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</si>
  <si>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</si>
  <si>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</si>
  <si>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</si>
  <si>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</si>
  <si>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</si>
  <si>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</si>
  <si>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</si>
  <si>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</si>
  <si>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</si>
  <si>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</si>
  <si>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</si>
  <si>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</si>
  <si>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</si>
  <si>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</si>
  <si>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</si>
  <si>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</si>
  <si>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</si>
  <si>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</si>
  <si>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</si>
  <si>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</si>
  <si>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</si>
  <si>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</si>
  <si>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</si>
  <si>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</si>
  <si>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</si>
  <si>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</si>
  <si>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</si>
  <si>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</si>
  <si>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</si>
  <si>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</si>
  <si>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</si>
  <si>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</si>
  <si>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</si>
  <si>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</si>
  <si>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</si>
  <si>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</si>
  <si>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</si>
  <si>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</si>
  <si>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</si>
  <si>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</si>
  <si>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</si>
  <si>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</si>
  <si>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</si>
  <si>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</si>
  <si>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</si>
  <si>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</si>
  <si>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</si>
  <si>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</si>
  <si>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</si>
  <si>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</si>
  <si>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</si>
  <si>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</si>
  <si>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</si>
  <si>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</si>
  <si>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</si>
  <si>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</si>
  <si>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</si>
  <si>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</si>
  <si>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</si>
  <si>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</si>
  <si>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</si>
  <si>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</si>
  <si>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</si>
  <si>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</si>
  <si>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</si>
  <si>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</si>
  <si>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</si>
  <si>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</si>
  <si>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</si>
  <si>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</si>
  <si>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</si>
  <si>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</si>
  <si>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</si>
  <si>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</si>
  <si>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</si>
  <si>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</si>
  <si>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</si>
  <si>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</si>
  <si>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</si>
  <si>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</si>
  <si>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</si>
  <si>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</si>
  <si>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</si>
  <si>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</si>
  <si>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</si>
  <si>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</si>
  <si>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</si>
  <si>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</si>
  <si>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</si>
  <si>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</si>
  <si>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</si>
  <si>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</si>
  <si>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</si>
  <si>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</si>
  <si>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</si>
  <si>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</si>
  <si>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</si>
  <si>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</si>
  <si>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</si>
  <si>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</si>
  <si>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</si>
  <si>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</si>
  <si>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</si>
  <si>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</si>
  <si>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</si>
  <si>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</si>
  <si>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</si>
  <si>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</si>
  <si>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</si>
  <si>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</si>
  <si>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</si>
  <si>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</si>
  <si>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</si>
  <si>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</si>
  <si>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</si>
  <si>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</si>
  <si>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</si>
  <si>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</si>
  <si>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</si>
  <si>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</si>
  <si>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</si>
  <si>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</si>
  <si>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</si>
  <si>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</si>
  <si>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</si>
  <si>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</si>
  <si>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</si>
  <si>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</si>
  <si>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</si>
  <si>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</si>
  <si>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</si>
  <si>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</si>
  <si>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</si>
  <si>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</si>
  <si>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</si>
  <si>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</si>
  <si>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</si>
  <si>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</si>
  <si>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</si>
  <si>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</si>
  <si>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</si>
  <si>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</si>
  <si>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</si>
  <si>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</si>
  <si>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</si>
  <si>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</si>
  <si>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</si>
  <si>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</si>
  <si>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</si>
  <si>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</si>
  <si>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</si>
  <si>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</si>
  <si>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</si>
  <si>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</si>
  <si>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</si>
  <si>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</si>
  <si>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</si>
  <si>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</si>
  <si>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</si>
  <si>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</si>
  <si>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</si>
  <si>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</si>
  <si>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</si>
  <si>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</si>
  <si>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</si>
  <si>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</si>
  <si>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</si>
  <si>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</si>
  <si>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</si>
  <si>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</si>
  <si>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</si>
  <si>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</si>
  <si>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</si>
  <si>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</si>
  <si>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</si>
  <si>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</si>
  <si>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</si>
  <si>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</si>
  <si>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</si>
  <si>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</si>
  <si>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</si>
  <si>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</si>
  <si>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</si>
  <si>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</si>
  <si>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</si>
  <si>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</si>
  <si>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</si>
  <si>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</si>
  <si>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</si>
  <si>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</si>
  <si>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</si>
  <si>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</si>
  <si>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</si>
  <si>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</si>
  <si>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</si>
  <si>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</si>
  <si>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</si>
  <si>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</si>
  <si>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</si>
  <si>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</si>
  <si>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</si>
  <si>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</si>
  <si>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</si>
  <si>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19600</t>
  </si>
  <si>
    <t>19600</t>
    <phoneticPr fontId="2" type="noConversion"/>
  </si>
  <si>
    <t>EnemyLight2</t>
  </si>
  <si>
    <t>EnemyLight2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</si>
</sst>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3"/>
  <sheetViews>
    <sheetView tabSelected="1" zoomScale="115" zoomScaleNormal="115" workbookViewId="0">
      <pane ySplit="1" topLeftCell="A2" activePane="bottomLeft" state="frozen"/>
      <selection pane="bottomLeft" activeCell="L9" sqref="L9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2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33" si="2">ROW(E10)</f>
        <v>10</v>
      </c>
      <c r="F10" s="9" t="s">
        <v>93</v>
      </c>
      <c r="G10" s="21">
        <v>2</v>
      </c>
      <c r="H10" s="21">
        <v>1</v>
      </c>
      <c r="J10" s="9" t="s">
        <v>248</v>
      </c>
      <c r="M10" s="21">
        <f t="shared" ref="M10" si="3">J10+D9</f>
        <v>19601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19510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127</v>
      </c>
      <c r="M12" s="21">
        <v>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250</v>
      </c>
      <c r="R13" s="12"/>
      <c r="S13" s="9"/>
      <c r="U13" s="12"/>
      <c r="X13" s="15"/>
      <c r="AE13" s="16"/>
      <c r="BH13" s="9"/>
    </row>
    <row r="14" spans="1:60">
      <c r="F14" s="9" t="s">
        <v>118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/>
      <c r="H15" s="9"/>
      <c r="I15" s="9"/>
      <c r="K15" s="9" t="s">
        <v>137</v>
      </c>
      <c r="M15" s="21">
        <v>5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117</v>
      </c>
      <c r="M16" s="21" t="b">
        <v>1</v>
      </c>
      <c r="R16" s="12"/>
      <c r="S16" s="9"/>
      <c r="U16" s="12"/>
      <c r="X16" s="15"/>
      <c r="AE16" s="16"/>
      <c r="BH16" s="9"/>
    </row>
    <row r="17" spans="1:60">
      <c r="E17" s="21">
        <f t="shared" si="2"/>
        <v>17</v>
      </c>
      <c r="F17" s="9" t="s">
        <v>196</v>
      </c>
      <c r="M17" s="21">
        <v>120</v>
      </c>
      <c r="R17" s="12"/>
      <c r="S17" s="9"/>
      <c r="U17" s="12"/>
      <c r="X17" s="15"/>
      <c r="AE17" s="16"/>
      <c r="BH17" s="9"/>
    </row>
    <row r="18" spans="1:60">
      <c r="E18" s="21">
        <f>ROW(E18)</f>
        <v>18</v>
      </c>
      <c r="F18" s="9" t="s">
        <v>112</v>
      </c>
      <c r="G18" s="21">
        <v>45</v>
      </c>
      <c r="H18" s="21">
        <v>135</v>
      </c>
      <c r="L18" s="9" t="s">
        <v>134</v>
      </c>
      <c r="M18" s="21" cm="1">
        <f t="array" ref="M18">_xlfn.SWITCH(C9,1,G18,2,H18,3,I18,4,J18)</f>
        <v>45</v>
      </c>
      <c r="R18" s="12"/>
      <c r="S18" s="9"/>
      <c r="U18" s="12"/>
      <c r="X18" s="15"/>
      <c r="AE18" s="16"/>
      <c r="BH18" s="9"/>
    </row>
    <row r="19" spans="1:60">
      <c r="E19" s="21">
        <f>ROW(E19)</f>
        <v>19</v>
      </c>
      <c r="F19" s="9" t="s">
        <v>113</v>
      </c>
      <c r="L19" s="9" t="s">
        <v>134</v>
      </c>
      <c r="M19" s="21">
        <v>25</v>
      </c>
      <c r="R19" s="12"/>
      <c r="S19" s="9"/>
      <c r="U19" s="12"/>
      <c r="X19" s="15"/>
      <c r="AE19" s="16"/>
      <c r="BH19" s="9"/>
    </row>
    <row r="20" spans="1:60">
      <c r="F20" s="9" t="s">
        <v>101</v>
      </c>
      <c r="M20" s="21">
        <f>M10*10+1</f>
        <v>196011</v>
      </c>
      <c r="R20" s="12"/>
      <c r="S20" s="9"/>
      <c r="U20" s="12"/>
      <c r="X20" s="15"/>
      <c r="AE20" s="16"/>
      <c r="BH20" s="9"/>
    </row>
    <row r="21" spans="1:60">
      <c r="F21" s="9" t="s">
        <v>142</v>
      </c>
      <c r="M21" s="21">
        <f>M10</f>
        <v>19601</v>
      </c>
      <c r="R21" s="12"/>
      <c r="S21" s="9"/>
      <c r="U21" s="12"/>
      <c r="X21" s="15"/>
      <c r="AE21" s="16"/>
      <c r="BH21" s="9"/>
    </row>
    <row r="22" spans="1:60">
      <c r="F22" s="9" t="s">
        <v>127</v>
      </c>
      <c r="J22" s="21"/>
      <c r="M22" s="21">
        <v>0</v>
      </c>
      <c r="R22" s="12"/>
      <c r="S22" s="9"/>
      <c r="U22" s="12"/>
      <c r="X22" s="15"/>
      <c r="AE22" s="16"/>
      <c r="BH22" s="9"/>
    </row>
    <row r="23" spans="1:60">
      <c r="A23" s="21" t="s">
        <v>227</v>
      </c>
      <c r="B23" s="21">
        <f t="shared" ref="B23" si="4">QUOTIENT( D23-1,G24)+1</f>
        <v>1</v>
      </c>
      <c r="C23" s="21">
        <f t="shared" ref="C23" si="5">D23-(B23-1)*G24</f>
        <v>2</v>
      </c>
      <c r="D23" s="21">
        <f>COUNT($D$8:$D22)+1</f>
        <v>2</v>
      </c>
      <c r="G23" s="9"/>
      <c r="H23" s="9"/>
      <c r="R23" s="12"/>
      <c r="S23" s="9"/>
      <c r="U23" s="12"/>
      <c r="X23" s="15"/>
      <c r="AE23" s="16"/>
      <c r="BH23" s="9"/>
    </row>
    <row r="24" spans="1:60">
      <c r="E24" s="21">
        <f t="shared" si="2"/>
        <v>24</v>
      </c>
      <c r="F24" s="9" t="s">
        <v>93</v>
      </c>
      <c r="G24" s="9">
        <v>2</v>
      </c>
      <c r="H24" s="9">
        <v>1</v>
      </c>
      <c r="J24" s="9" t="s">
        <v>247</v>
      </c>
      <c r="M24" s="21">
        <f t="shared" ref="M24" si="6">J24+D23</f>
        <v>19602</v>
      </c>
      <c r="R24" s="12"/>
      <c r="S24" s="9"/>
      <c r="U24" s="12"/>
      <c r="X24" s="15"/>
      <c r="AE24" s="16"/>
      <c r="BH24" s="9"/>
    </row>
    <row r="25" spans="1:60">
      <c r="E25" s="21">
        <f t="shared" si="2"/>
        <v>25</v>
      </c>
      <c r="F25" s="9" t="s">
        <v>142</v>
      </c>
      <c r="G25" s="9"/>
      <c r="H25" s="9"/>
      <c r="M25" s="21">
        <v>19510</v>
      </c>
      <c r="R25" s="12"/>
      <c r="S25" s="9"/>
      <c r="U25" s="12"/>
      <c r="X25" s="15"/>
      <c r="AE25" s="16"/>
      <c r="BH25" s="9"/>
    </row>
    <row r="26" spans="1:60">
      <c r="E26" s="21">
        <f t="shared" si="2"/>
        <v>26</v>
      </c>
      <c r="F26" s="9" t="s">
        <v>127</v>
      </c>
      <c r="G26" s="9"/>
      <c r="H26" s="9"/>
      <c r="M26" s="21">
        <v>0</v>
      </c>
      <c r="R26" s="12"/>
      <c r="S26" s="9"/>
      <c r="U26" s="12"/>
      <c r="X26" s="15"/>
      <c r="AE26" s="16"/>
      <c r="BH26" s="9"/>
    </row>
    <row r="27" spans="1:60">
      <c r="E27" s="21">
        <f t="shared" si="2"/>
        <v>27</v>
      </c>
      <c r="F27" s="9" t="s">
        <v>29</v>
      </c>
      <c r="M27" s="21" t="s">
        <v>249</v>
      </c>
      <c r="R27" s="12"/>
      <c r="S27" s="9"/>
      <c r="U27" s="12"/>
      <c r="X27" s="15"/>
      <c r="AE27" s="16"/>
      <c r="BH27" s="9"/>
    </row>
    <row r="28" spans="1:60">
      <c r="F28" s="9" t="s">
        <v>118</v>
      </c>
      <c r="R28" s="12"/>
      <c r="S28" s="9"/>
      <c r="U28" s="12"/>
      <c r="X28" s="15"/>
      <c r="AE28" s="16"/>
      <c r="BH28" s="9"/>
    </row>
    <row r="29" spans="1:60">
      <c r="E29" s="21">
        <f t="shared" si="2"/>
        <v>29</v>
      </c>
      <c r="F29" s="9" t="s">
        <v>98</v>
      </c>
      <c r="K29" s="9" t="s">
        <v>137</v>
      </c>
      <c r="M29" s="26">
        <v>5</v>
      </c>
      <c r="R29" s="12"/>
      <c r="S29" s="9"/>
      <c r="U29" s="12"/>
      <c r="X29" s="15"/>
      <c r="AE29" s="16"/>
      <c r="BH29" s="9"/>
    </row>
    <row r="30" spans="1:60">
      <c r="E30" s="21">
        <f t="shared" si="2"/>
        <v>30</v>
      </c>
      <c r="F30" s="9" t="s">
        <v>117</v>
      </c>
      <c r="M30" s="21" t="b">
        <v>1</v>
      </c>
      <c r="R30" s="12"/>
      <c r="S30" s="9"/>
      <c r="U30" s="12"/>
      <c r="X30" s="15"/>
      <c r="AE30" s="16"/>
      <c r="BH30" s="9"/>
    </row>
    <row r="31" spans="1:60">
      <c r="E31" s="21">
        <f t="shared" si="2"/>
        <v>31</v>
      </c>
      <c r="F31" s="9" t="s">
        <v>196</v>
      </c>
      <c r="M31" s="21">
        <v>120</v>
      </c>
      <c r="R31" s="12"/>
      <c r="S31" s="9"/>
      <c r="U31" s="12"/>
      <c r="X31" s="15"/>
      <c r="AE31" s="16"/>
      <c r="BH31" s="9"/>
    </row>
    <row r="32" spans="1:60">
      <c r="E32" s="21">
        <f t="shared" si="2"/>
        <v>32</v>
      </c>
      <c r="F32" s="9" t="s">
        <v>112</v>
      </c>
      <c r="G32" s="21">
        <v>45</v>
      </c>
      <c r="H32" s="21">
        <v>135</v>
      </c>
      <c r="L32" s="9" t="s">
        <v>134</v>
      </c>
      <c r="M32" s="26" cm="1">
        <f t="array" ref="M32">_xlfn.SWITCH(C23,1,G32,2,H32,3,I32,4,J32)</f>
        <v>135</v>
      </c>
      <c r="R32" s="12"/>
      <c r="S32" s="9"/>
      <c r="U32" s="12"/>
      <c r="X32" s="15"/>
      <c r="AE32" s="16"/>
      <c r="BH32" s="9"/>
    </row>
    <row r="33" spans="5:13">
      <c r="E33" s="21">
        <f t="shared" si="2"/>
        <v>33</v>
      </c>
      <c r="F33" s="9" t="s">
        <v>113</v>
      </c>
      <c r="L33" s="9" t="s">
        <v>134</v>
      </c>
      <c r="M33" s="21">
        <v>25</v>
      </c>
    </row>
    <row r="34" spans="5:13">
      <c r="F34" s="9" t="s">
        <v>101</v>
      </c>
      <c r="M34" s="21">
        <f t="shared" ref="M34" si="7">M24*10+1</f>
        <v>196021</v>
      </c>
    </row>
    <row r="35" spans="5:13">
      <c r="F35" s="9" t="s">
        <v>142</v>
      </c>
      <c r="M35" s="21">
        <f t="shared" ref="M35" si="8">M24</f>
        <v>19602</v>
      </c>
    </row>
    <row r="36" spans="5:13">
      <c r="F36" s="9" t="s">
        <v>127</v>
      </c>
      <c r="M36" s="21">
        <v>0</v>
      </c>
    </row>
    <row r="43" spans="5:13">
      <c r="M43" s="26"/>
    </row>
  </sheetData>
  <phoneticPr fontId="2" type="noConversion"/>
  <conditionalFormatting sqref="BE1:XFD1 E1:I1">
    <cfRule type="duplicateValues" dxfId="49" priority="1882"/>
  </conditionalFormatting>
  <conditionalFormatting sqref="F1:F2">
    <cfRule type="cellIs" dxfId="48" priority="1383" operator="equal">
      <formula>"ID"</formula>
    </cfRule>
    <cfRule type="cellIs" dxfId="47" priority="1798" operator="equal">
      <formula>"行動序號"</formula>
    </cfRule>
  </conditionalFormatting>
  <conditionalFormatting sqref="J1">
    <cfRule type="duplicateValues" dxfId="46" priority="1381"/>
  </conditionalFormatting>
  <conditionalFormatting sqref="K1:L1">
    <cfRule type="duplicateValues" dxfId="45" priority="1378"/>
  </conditionalFormatting>
  <conditionalFormatting sqref="M1:M1048576">
    <cfRule type="expression" dxfId="44" priority="993">
      <formula>_xlfn.ISFORMULA(M1)</formula>
    </cfRule>
  </conditionalFormatting>
  <conditionalFormatting sqref="N1:BD1">
    <cfRule type="duplicateValues" dxfId="43" priority="1898"/>
  </conditionalFormatting>
  <conditionalFormatting sqref="F1:F1048576">
    <cfRule type="cellIs" dxfId="42" priority="96" operator="equal">
      <formula>"ID"</formula>
    </cfRule>
    <cfRule type="cellIs" dxfId="41" priority="97" operator="equal">
      <formula>"行動ID"</formula>
    </cfRule>
  </conditionalFormatting>
  <conditionalFormatting sqref="M1:M1048576">
    <cfRule type="expression" dxfId="40" priority="57">
      <formula>AND(_xlfn.ISFORMULA(M1),OR($F1="行動ID", $F1="ID"))</formula>
    </cfRule>
    <cfRule type="expression" dxfId="39" priority="59">
      <formula>OR($F1="行動ID", $F1="ID")</formula>
    </cfRule>
  </conditionalFormatting>
  <dataValidations count="1">
    <dataValidation type="list" allowBlank="1" showInputMessage="1" showErrorMessage="1" sqref="L5 L7:L8 L9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stage7_card12shot1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2025-04-25T07:57:14Z</dcterms:modified>
</cp:coreProperties>
</file>