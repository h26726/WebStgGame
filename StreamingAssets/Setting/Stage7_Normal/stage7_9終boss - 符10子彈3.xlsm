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D15002B-2356-413B-ABCC-9B35360699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0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" l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25" i="1"/>
  <c r="E27" i="1"/>
  <c r="E28" i="1"/>
  <c r="E24" i="1"/>
  <c r="E22" i="1" l="1"/>
  <c r="D30" i="1"/>
  <c r="D32" i="1" l="1"/>
  <c r="D34" i="1" s="1"/>
  <c r="D36" i="1" s="1"/>
  <c r="M31" i="1"/>
  <c r="B30" i="1"/>
  <c r="M37" i="1" l="1"/>
  <c r="B36" i="1"/>
  <c r="C36" i="1" s="1"/>
  <c r="M35" i="1"/>
  <c r="B34" i="1"/>
  <c r="C34" i="1" s="1"/>
  <c r="D38" i="1"/>
  <c r="M33" i="1"/>
  <c r="B32" i="1"/>
  <c r="C32" i="1" s="1"/>
  <c r="C30" i="1"/>
  <c r="M39" i="1" l="1"/>
  <c r="B38" i="1"/>
  <c r="C38" i="1" s="1"/>
  <c r="D40" i="1"/>
  <c r="D42" i="1"/>
  <c r="E23" i="1"/>
  <c r="E21" i="1"/>
  <c r="E30" i="1"/>
  <c r="E20" i="1"/>
  <c r="M43" i="1" l="1"/>
  <c r="B42" i="1"/>
  <c r="C42" i="1" s="1"/>
  <c r="M41" i="1"/>
  <c r="B40" i="1"/>
  <c r="C40" i="1" s="1"/>
  <c r="D44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45" i="1" l="1"/>
  <c r="B44" i="1"/>
  <c r="C44" i="1" s="1"/>
  <c r="D46" i="1"/>
  <c r="M47" i="1" l="1"/>
  <c r="B46" i="1"/>
  <c r="C46" i="1" s="1"/>
  <c r="D48" i="1"/>
  <c r="D50" i="1" s="1"/>
  <c r="M51" i="1" l="1"/>
  <c r="B50" i="1"/>
  <c r="C50" i="1" s="1"/>
  <c r="D52" i="1"/>
  <c r="M49" i="1"/>
  <c r="B48" i="1"/>
  <c r="C48" i="1" s="1"/>
  <c r="M53" i="1" l="1"/>
  <c r="B52" i="1"/>
  <c r="C52" i="1" s="1"/>
  <c r="D54" i="1"/>
  <c r="M55" i="1" l="1"/>
  <c r="B54" i="1"/>
  <c r="C54" i="1" s="1"/>
  <c r="D56" i="1"/>
  <c r="M57" i="1" l="1"/>
  <c r="B56" i="1"/>
  <c r="C56" i="1" s="1"/>
  <c r="D58" i="1"/>
  <c r="M59" i="1" l="1"/>
  <c r="B58" i="1"/>
  <c r="C58" i="1" s="1"/>
  <c r="D60" i="1"/>
  <c r="M61" i="1" l="1"/>
  <c r="B60" i="1"/>
  <c r="C60" i="1" s="1"/>
  <c r="D62" i="1"/>
  <c r="M63" i="1" l="1"/>
  <c r="B62" i="1"/>
  <c r="C62" i="1" s="1"/>
  <c r="D64" i="1"/>
  <c r="M65" i="1" l="1"/>
  <c r="B64" i="1"/>
  <c r="C64" i="1" s="1"/>
  <c r="D66" i="1"/>
  <c r="M67" i="1" l="1"/>
  <c r="B66" i="1"/>
  <c r="C66" i="1" s="1"/>
  <c r="D68" i="1"/>
  <c r="M69" i="1" l="1"/>
  <c r="B68" i="1"/>
  <c r="C68" i="1" s="1"/>
  <c r="D70" i="1"/>
  <c r="B70" i="1" l="1"/>
  <c r="C70" i="1" s="1"/>
  <c r="M71" i="1"/>
  <c r="D72" i="1"/>
  <c r="D74" i="1" s="1"/>
  <c r="B74" i="1" l="1"/>
  <c r="C74" i="1" s="1"/>
  <c r="M75" i="1"/>
  <c r="D76" i="1"/>
  <c r="B72" i="1"/>
  <c r="C72" i="1" s="1"/>
  <c r="M73" i="1"/>
  <c r="B76" i="1" l="1"/>
  <c r="C76" i="1" s="1"/>
  <c r="M77" i="1"/>
  <c r="D78" i="1"/>
  <c r="B78" i="1" l="1"/>
  <c r="C78" i="1" s="1"/>
  <c r="M79" i="1"/>
  <c r="D80" i="1"/>
  <c r="M81" i="1" l="1"/>
  <c r="B80" i="1"/>
  <c r="C80" i="1" s="1"/>
  <c r="D82" i="1"/>
  <c r="M83" i="1" l="1"/>
  <c r="B82" i="1"/>
  <c r="C82" i="1" s="1"/>
  <c r="D84" i="1"/>
  <c r="D86" i="1" s="1"/>
  <c r="D88" i="1" l="1"/>
  <c r="D90" i="1" s="1"/>
  <c r="M85" i="1"/>
  <c r="B84" i="1"/>
  <c r="C84" i="1" s="1"/>
  <c r="M87" i="1"/>
  <c r="B86" i="1"/>
  <c r="C86" i="1" s="1"/>
  <c r="B90" i="1" l="1"/>
  <c r="C90" i="1" s="1"/>
  <c r="M91" i="1"/>
  <c r="B88" i="1"/>
  <c r="C88" i="1" s="1"/>
  <c r="M89" i="1"/>
  <c r="D92" i="1"/>
  <c r="B92" i="1" s="1"/>
  <c r="C92" i="1" s="1"/>
  <c r="M93" i="1" l="1"/>
  <c r="D94" i="1"/>
  <c r="M95" i="1" s="1"/>
  <c r="B94" i="1" l="1"/>
  <c r="C94" i="1" s="1"/>
  <c r="D96" i="1"/>
  <c r="B96" i="1" s="1"/>
  <c r="C96" i="1" s="1"/>
  <c r="M97" i="1"/>
  <c r="D98" i="1"/>
  <c r="M99" i="1" l="1"/>
  <c r="B98" i="1"/>
  <c r="C98" i="1" s="1"/>
  <c r="D100" i="1"/>
  <c r="D102" i="1" s="1"/>
  <c r="D104" i="1" l="1"/>
  <c r="D106" i="1" s="1"/>
  <c r="M103" i="1"/>
  <c r="B102" i="1"/>
  <c r="C102" i="1" s="1"/>
  <c r="M101" i="1"/>
  <c r="B100" i="1"/>
  <c r="C100" i="1" s="1"/>
  <c r="M105" i="1" l="1"/>
  <c r="B104" i="1"/>
  <c r="C104" i="1" s="1"/>
  <c r="M107" i="1"/>
  <c r="B106" i="1"/>
  <c r="C106" i="1" s="1"/>
  <c r="D108" i="1"/>
  <c r="D110" i="1" s="1"/>
  <c r="B110" i="1" s="1"/>
  <c r="C110" i="1" s="1"/>
  <c r="D112" i="1" l="1"/>
  <c r="D114" i="1" s="1"/>
  <c r="M111" i="1"/>
  <c r="M109" i="1"/>
  <c r="B108" i="1"/>
  <c r="C108" i="1" s="1"/>
  <c r="B112" i="1" l="1"/>
  <c r="C112" i="1" s="1"/>
  <c r="M113" i="1"/>
  <c r="M115" i="1"/>
  <c r="B114" i="1"/>
  <c r="C114" i="1" s="1"/>
  <c r="D116" i="1"/>
  <c r="M117" i="1" l="1"/>
  <c r="B116" i="1"/>
  <c r="C116" i="1" s="1"/>
  <c r="D118" i="1"/>
  <c r="M119" i="1" l="1"/>
  <c r="B118" i="1"/>
  <c r="C118" i="1" s="1"/>
</calcChain>
</file>

<file path=xl/sharedStrings.xml><?xml version="1.0" encoding="utf-8"?>
<sst xmlns="http://schemas.openxmlformats.org/spreadsheetml/2006/main" count="586" uniqueCount="252">
  <si>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</si>
  <si>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</si>
  <si>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</si>
  <si>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</si>
  <si>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</si>
  <si>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</si>
  <si>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</si>
  <si>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</si>
  <si>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</si>
  <si>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</si>
  <si>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</si>
  <si>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</si>
  <si>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</si>
  <si>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</si>
  <si>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</si>
  <si>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</si>
  <si>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</si>
  <si>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</si>
  <si>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</si>
  <si>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</si>
  <si>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</si>
  <si>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</si>
  <si>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</si>
  <si>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</si>
  <si>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</si>
  <si>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</si>
  <si>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</si>
  <si>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</si>
  <si>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</si>
  <si>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</si>
  <si>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</si>
  <si>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</si>
  <si>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</si>
  <si>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</si>
  <si>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</si>
  <si>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</si>
  <si>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</si>
  <si>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</si>
  <si>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</si>
  <si>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</si>
  <si>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</si>
  <si>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</si>
  <si>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</si>
  <si>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</si>
  <si>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</si>
  <si>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</si>
  <si>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</si>
  <si>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</si>
  <si>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</si>
  <si>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</si>
  <si>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</si>
  <si>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</si>
  <si>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</si>
  <si>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</si>
  <si>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</si>
  <si>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</si>
  <si>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</si>
  <si>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</si>
  <si>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</si>
  <si>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</si>
  <si>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</si>
  <si>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</si>
  <si>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</si>
  <si>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</si>
  <si>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</si>
  <si>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</si>
  <si>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</si>
  <si>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</si>
  <si>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</si>
  <si>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</si>
  <si>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</si>
  <si>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</si>
  <si>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</si>
  <si>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</si>
  <si>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</si>
  <si>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</si>
  <si>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</si>
  <si>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</si>
  <si>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</si>
  <si>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</si>
  <si>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</si>
  <si>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</si>
  <si>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</si>
  <si>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</si>
  <si>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</si>
  <si>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</si>
  <si>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</si>
  <si>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</si>
  <si>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</si>
  <si>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</si>
  <si>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</si>
  <si>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</si>
  <si>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</si>
  <si>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</si>
  <si>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</si>
  <si>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</si>
  <si>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</si>
  <si>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</si>
  <si>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</si>
  <si>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</si>
  <si>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</si>
  <si>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</si>
  <si>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</si>
  <si>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</si>
  <si>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</si>
  <si>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</si>
  <si>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</si>
  <si>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</si>
  <si>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</si>
  <si>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</si>
  <si>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</si>
  <si>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</si>
  <si>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</si>
  <si>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</si>
  <si>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</si>
  <si>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</si>
  <si>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</si>
  <si>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</si>
  <si>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</si>
  <si>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</si>
  <si>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</si>
  <si>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</si>
  <si>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</si>
  <si>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</si>
  <si>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</si>
  <si>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</si>
  <si>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</si>
  <si>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</si>
  <si>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</si>
  <si>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</si>
  <si>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</si>
  <si>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</si>
  <si>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</si>
  <si>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</si>
  <si>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</si>
  <si>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</si>
  <si>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</si>
  <si>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</si>
  <si>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</si>
  <si>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</si>
  <si>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</si>
  <si>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</si>
  <si>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</si>
  <si>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</si>
  <si>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</si>
  <si>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</si>
  <si>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</si>
  <si>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</si>
  <si>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</si>
  <si>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</si>
  <si>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</si>
  <si>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</si>
  <si>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</si>
  <si>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</si>
  <si>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</si>
  <si>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</si>
  <si>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</si>
  <si>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</si>
  <si>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</si>
  <si>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</si>
  <si>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</si>
  <si>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</si>
  <si>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</si>
  <si>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</si>
  <si>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</si>
  <si>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</si>
  <si>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</si>
  <si>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</si>
  <si>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</si>
  <si>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</si>
  <si>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</si>
  <si>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</si>
  <si>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</si>
  <si>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</si>
  <si>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</si>
  <si>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</si>
  <si>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</si>
  <si>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</si>
  <si>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</si>
  <si>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</si>
  <si>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</si>
  <si>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</si>
  <si>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</si>
  <si>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</si>
  <si>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</si>
  <si>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</si>
  <si>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</si>
  <si>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</si>
  <si>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</si>
  <si>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</si>
  <si>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</si>
  <si>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</si>
  <si>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</si>
  <si>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</si>
  <si>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</si>
  <si>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</si>
  <si>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</si>
  <si>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</si>
  <si>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</si>
  <si>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</si>
  <si>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</si>
  <si>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</si>
  <si>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</si>
  <si>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</si>
  <si>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</si>
  <si>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</si>
  <si>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</si>
  <si>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</si>
  <si>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</si>
  <si>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</si>
  <si>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</si>
  <si>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</si>
  <si>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</si>
  <si>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</si>
  <si>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</si>
  <si>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</si>
  <si>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</si>
  <si>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</si>
  <si>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</si>
  <si>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</si>
  <si>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</si>
  <si>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</si>
  <si>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</si>
  <si>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</si>
  <si>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</si>
  <si>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</si>
  <si>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</si>
  <si>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</si>
  <si>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</si>
  <si>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</si>
  <si>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</si>
  <si>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</si>
  <si>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</si>
  <si>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</si>
  <si>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</si>
  <si>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</si>
  <si>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</si>
  <si>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</si>
  <si>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</si>
  <si>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</si>
  <si>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</si>
  <si>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</si>
  <si>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</si>
  <si>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</si>
  <si>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</si>
  <si>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</si>
  <si>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</si>
  <si>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</si>
  <si>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Shot2_black</t>
    <phoneticPr fontId="2" type="noConversion"/>
  </si>
  <si>
    <t>速度</t>
    <phoneticPr fontId="2" type="noConversion"/>
  </si>
  <si>
    <t>2,5</t>
    <phoneticPr fontId="2" type="noConversion"/>
  </si>
  <si>
    <t>行動時間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</si>
</sst>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9"/>
  <sheetViews>
    <sheetView tabSelected="1" zoomScale="115" zoomScaleNormal="115" workbookViewId="0">
      <pane ySplit="1" topLeftCell="A19" activePane="bottomLeft" state="frozen"/>
      <selection pane="bottomLeft" activeCell="E29" sqref="E29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0" spans="1:60">
      <c r="E20" s="21">
        <f t="shared" ref="E20:E29" si="0">ROW(E20)</f>
        <v>20</v>
      </c>
      <c r="F20" s="9" t="s">
        <v>93</v>
      </c>
      <c r="G20" s="21">
        <v>9</v>
      </c>
      <c r="H20" s="21">
        <v>5</v>
      </c>
      <c r="M20" s="21">
        <v>18910</v>
      </c>
      <c r="R20" s="12"/>
      <c r="S20" s="9"/>
      <c r="U20" s="12"/>
      <c r="X20" s="15"/>
      <c r="AE20" s="16"/>
      <c r="BH20" s="9"/>
    </row>
    <row r="21" spans="1:60">
      <c r="E21" s="21">
        <f t="shared" si="0"/>
        <v>21</v>
      </c>
      <c r="F21" s="9" t="s">
        <v>29</v>
      </c>
      <c r="M21" s="21" t="s">
        <v>247</v>
      </c>
      <c r="R21" s="12"/>
      <c r="S21" s="9"/>
      <c r="U21" s="12"/>
      <c r="X21" s="15"/>
      <c r="AE21" s="16"/>
      <c r="BH21" s="9"/>
    </row>
    <row r="22" spans="1:60">
      <c r="E22" s="21">
        <f t="shared" si="0"/>
        <v>22</v>
      </c>
      <c r="F22" s="9" t="s">
        <v>118</v>
      </c>
      <c r="M22" s="21" t="s">
        <v>248</v>
      </c>
      <c r="R22" s="12"/>
      <c r="S22" s="9"/>
      <c r="U22" s="12"/>
      <c r="X22" s="15"/>
      <c r="AE22" s="16"/>
      <c r="BH22" s="9"/>
    </row>
    <row r="23" spans="1:60">
      <c r="E23" s="21">
        <f t="shared" si="0"/>
        <v>23</v>
      </c>
      <c r="F23" s="9" t="s">
        <v>98</v>
      </c>
      <c r="K23" s="9" t="s">
        <v>137</v>
      </c>
      <c r="M23" s="21">
        <v>2</v>
      </c>
      <c r="R23" s="12"/>
      <c r="S23" s="9"/>
      <c r="U23" s="12"/>
      <c r="X23" s="15"/>
      <c r="AE23" s="16"/>
      <c r="BH23" s="9"/>
    </row>
    <row r="24" spans="1:60">
      <c r="E24" s="21">
        <f t="shared" si="0"/>
        <v>24</v>
      </c>
      <c r="F24" s="9" t="s">
        <v>249</v>
      </c>
      <c r="M24" s="26">
        <v>1.2</v>
      </c>
    </row>
    <row r="25" spans="1:60">
      <c r="E25" s="21">
        <f t="shared" si="0"/>
        <v>25</v>
      </c>
      <c r="F25" s="9" t="s">
        <v>115</v>
      </c>
      <c r="M25" s="26">
        <v>-0.1</v>
      </c>
    </row>
    <row r="26" spans="1:60">
      <c r="E26" s="21">
        <f t="shared" si="0"/>
        <v>26</v>
      </c>
      <c r="F26" s="9" t="s">
        <v>108</v>
      </c>
      <c r="M26" s="26">
        <v>0.6</v>
      </c>
    </row>
    <row r="27" spans="1:60">
      <c r="E27" s="21">
        <f t="shared" si="0"/>
        <v>27</v>
      </c>
      <c r="F27" s="9" t="s">
        <v>31</v>
      </c>
      <c r="L27" s="9" t="s">
        <v>135</v>
      </c>
      <c r="M27" s="21" t="s">
        <v>250</v>
      </c>
    </row>
    <row r="28" spans="1:60">
      <c r="E28" s="21">
        <f t="shared" si="0"/>
        <v>28</v>
      </c>
      <c r="F28" s="9" t="s">
        <v>114</v>
      </c>
      <c r="M28" s="21" t="b">
        <v>1</v>
      </c>
    </row>
    <row r="29" spans="1:60">
      <c r="F29" s="9" t="s">
        <v>251</v>
      </c>
      <c r="M29" s="21">
        <v>450</v>
      </c>
    </row>
    <row r="30" spans="1:60">
      <c r="A30" s="21" t="s">
        <v>227</v>
      </c>
      <c r="B30" s="21">
        <f>QUOTIENT( D30-1,$G$20)+1</f>
        <v>1</v>
      </c>
      <c r="C30" s="21">
        <f>D30-(B30-1)*$G$20</f>
        <v>1</v>
      </c>
      <c r="D30" s="21">
        <f>COUNT($D$20:$D28)+1</f>
        <v>1</v>
      </c>
      <c r="E30" s="21">
        <f>ROW(E30)</f>
        <v>30</v>
      </c>
      <c r="F30" s="9" t="s">
        <v>142</v>
      </c>
      <c r="G30" s="21">
        <v>60</v>
      </c>
      <c r="M30" s="21">
        <v>18800</v>
      </c>
      <c r="R30" s="12"/>
      <c r="S30" s="9"/>
      <c r="U30" s="12"/>
      <c r="X30" s="15"/>
      <c r="AE30" s="16"/>
      <c r="BH30" s="9"/>
    </row>
    <row r="31" spans="1:60">
      <c r="E31" s="21">
        <f t="shared" ref="E31:E94" si="1">ROW(E31)</f>
        <v>31</v>
      </c>
      <c r="F31" s="9" t="s">
        <v>126</v>
      </c>
      <c r="M31" s="21">
        <f>G30*D30</f>
        <v>60</v>
      </c>
    </row>
    <row r="32" spans="1:60">
      <c r="A32" s="21" t="s">
        <v>227</v>
      </c>
      <c r="B32" s="21">
        <f t="shared" ref="B32" si="2">QUOTIENT( D32-1,$G$20)+1</f>
        <v>1</v>
      </c>
      <c r="C32" s="21">
        <f t="shared" ref="C32" si="3">D32-(B32-1)*$G$20</f>
        <v>2</v>
      </c>
      <c r="D32" s="21">
        <f>COUNT($D$20:$D31)+1</f>
        <v>2</v>
      </c>
      <c r="E32" s="21">
        <f t="shared" si="1"/>
        <v>32</v>
      </c>
      <c r="F32" s="9" t="s">
        <v>142</v>
      </c>
      <c r="G32" s="21">
        <v>60</v>
      </c>
      <c r="M32" s="21">
        <v>18800</v>
      </c>
    </row>
    <row r="33" spans="1:13">
      <c r="E33" s="21">
        <f t="shared" si="1"/>
        <v>33</v>
      </c>
      <c r="F33" s="9" t="s">
        <v>126</v>
      </c>
      <c r="M33" s="21">
        <f t="shared" ref="M33" si="4">G32*D32</f>
        <v>120</v>
      </c>
    </row>
    <row r="34" spans="1:13">
      <c r="A34" s="21" t="s">
        <v>227</v>
      </c>
      <c r="B34" s="21">
        <f t="shared" ref="B34" si="5">QUOTIENT( D34-1,$G$20)+1</f>
        <v>1</v>
      </c>
      <c r="C34" s="21">
        <f t="shared" ref="C34" si="6">D34-(B34-1)*$G$20</f>
        <v>3</v>
      </c>
      <c r="D34" s="21">
        <f>COUNT($D$20:$D33)+1</f>
        <v>3</v>
      </c>
      <c r="E34" s="21">
        <f t="shared" si="1"/>
        <v>34</v>
      </c>
      <c r="F34" s="9" t="s">
        <v>142</v>
      </c>
      <c r="G34" s="21">
        <v>60</v>
      </c>
      <c r="M34" s="21">
        <v>18800</v>
      </c>
    </row>
    <row r="35" spans="1:13">
      <c r="E35" s="21">
        <f t="shared" si="1"/>
        <v>35</v>
      </c>
      <c r="F35" s="9" t="s">
        <v>126</v>
      </c>
      <c r="M35" s="21">
        <f t="shared" ref="M35" si="7">G34*D34</f>
        <v>180</v>
      </c>
    </row>
    <row r="36" spans="1:13">
      <c r="A36" s="21" t="s">
        <v>227</v>
      </c>
      <c r="B36" s="21">
        <f t="shared" ref="B36" si="8">QUOTIENT( D36-1,$G$20)+1</f>
        <v>1</v>
      </c>
      <c r="C36" s="21">
        <f t="shared" ref="C36" si="9">D36-(B36-1)*$G$20</f>
        <v>4</v>
      </c>
      <c r="D36" s="21">
        <f>COUNT($D$20:$D35)+1</f>
        <v>4</v>
      </c>
      <c r="E36" s="21">
        <f t="shared" si="1"/>
        <v>36</v>
      </c>
      <c r="F36" s="9" t="s">
        <v>142</v>
      </c>
      <c r="G36" s="21">
        <v>60</v>
      </c>
      <c r="M36" s="21">
        <v>18800</v>
      </c>
    </row>
    <row r="37" spans="1:13">
      <c r="E37" s="21">
        <f t="shared" si="1"/>
        <v>37</v>
      </c>
      <c r="F37" s="9" t="s">
        <v>126</v>
      </c>
      <c r="M37" s="21">
        <f t="shared" ref="M37" si="10">G36*D36</f>
        <v>240</v>
      </c>
    </row>
    <row r="38" spans="1:13">
      <c r="A38" s="21" t="s">
        <v>227</v>
      </c>
      <c r="B38" s="21">
        <f t="shared" ref="B38" si="11">QUOTIENT( D38-1,$G$20)+1</f>
        <v>1</v>
      </c>
      <c r="C38" s="21">
        <f t="shared" ref="C38" si="12">D38-(B38-1)*$G$20</f>
        <v>5</v>
      </c>
      <c r="D38" s="21">
        <f>COUNT($D$20:$D37)+1</f>
        <v>5</v>
      </c>
      <c r="E38" s="21">
        <f t="shared" si="1"/>
        <v>38</v>
      </c>
      <c r="F38" s="9" t="s">
        <v>142</v>
      </c>
      <c r="G38" s="21">
        <v>60</v>
      </c>
      <c r="M38" s="21">
        <v>18800</v>
      </c>
    </row>
    <row r="39" spans="1:13">
      <c r="E39" s="21">
        <f t="shared" si="1"/>
        <v>39</v>
      </c>
      <c r="F39" s="9" t="s">
        <v>126</v>
      </c>
      <c r="M39" s="21">
        <f t="shared" ref="M39" si="13">G38*D38</f>
        <v>300</v>
      </c>
    </row>
    <row r="40" spans="1:13">
      <c r="A40" s="21" t="s">
        <v>227</v>
      </c>
      <c r="B40" s="21">
        <f t="shared" ref="B40" si="14">QUOTIENT( D40-1,$G$20)+1</f>
        <v>1</v>
      </c>
      <c r="C40" s="21">
        <f t="shared" ref="C40" si="15">D40-(B40-1)*$G$20</f>
        <v>6</v>
      </c>
      <c r="D40" s="21">
        <f>COUNT($D$20:$D39)+1</f>
        <v>6</v>
      </c>
      <c r="E40" s="21">
        <f t="shared" si="1"/>
        <v>40</v>
      </c>
      <c r="F40" s="9" t="s">
        <v>142</v>
      </c>
      <c r="G40" s="21">
        <v>60</v>
      </c>
      <c r="M40" s="21">
        <v>18800</v>
      </c>
    </row>
    <row r="41" spans="1:13">
      <c r="E41" s="21">
        <f t="shared" si="1"/>
        <v>41</v>
      </c>
      <c r="F41" s="9" t="s">
        <v>126</v>
      </c>
      <c r="M41" s="21">
        <f t="shared" ref="M41" si="16">G40*D40</f>
        <v>360</v>
      </c>
    </row>
    <row r="42" spans="1:13">
      <c r="A42" s="21" t="s">
        <v>227</v>
      </c>
      <c r="B42" s="21">
        <f t="shared" ref="B42" si="17">QUOTIENT( D42-1,$G$20)+1</f>
        <v>1</v>
      </c>
      <c r="C42" s="21">
        <f t="shared" ref="C42" si="18">D42-(B42-1)*$G$20</f>
        <v>7</v>
      </c>
      <c r="D42" s="21">
        <f>COUNT($D$20:$D41)+1</f>
        <v>7</v>
      </c>
      <c r="E42" s="21">
        <f t="shared" si="1"/>
        <v>42</v>
      </c>
      <c r="F42" s="9" t="s">
        <v>142</v>
      </c>
      <c r="G42" s="21">
        <v>60</v>
      </c>
      <c r="M42" s="21">
        <v>18800</v>
      </c>
    </row>
    <row r="43" spans="1:13">
      <c r="E43" s="21">
        <f t="shared" si="1"/>
        <v>43</v>
      </c>
      <c r="F43" s="9" t="s">
        <v>126</v>
      </c>
      <c r="M43" s="21">
        <f t="shared" ref="M43" si="19">G42*D42</f>
        <v>420</v>
      </c>
    </row>
    <row r="44" spans="1:13">
      <c r="A44" s="21" t="s">
        <v>227</v>
      </c>
      <c r="B44" s="21">
        <f t="shared" ref="B44" si="20">QUOTIENT( D44-1,$G$20)+1</f>
        <v>1</v>
      </c>
      <c r="C44" s="21">
        <f t="shared" ref="C44" si="21">D44-(B44-1)*$G$20</f>
        <v>8</v>
      </c>
      <c r="D44" s="21">
        <f>COUNT($D$20:$D43)+1</f>
        <v>8</v>
      </c>
      <c r="E44" s="21">
        <f t="shared" si="1"/>
        <v>44</v>
      </c>
      <c r="F44" s="9" t="s">
        <v>142</v>
      </c>
      <c r="G44" s="21">
        <v>60</v>
      </c>
      <c r="M44" s="21">
        <v>18800</v>
      </c>
    </row>
    <row r="45" spans="1:13">
      <c r="E45" s="21">
        <f t="shared" si="1"/>
        <v>45</v>
      </c>
      <c r="F45" s="9" t="s">
        <v>126</v>
      </c>
      <c r="M45" s="21">
        <f t="shared" ref="M45" si="22">G44*D44</f>
        <v>480</v>
      </c>
    </row>
    <row r="46" spans="1:13">
      <c r="A46" s="21" t="s">
        <v>227</v>
      </c>
      <c r="B46" s="21">
        <f t="shared" ref="B46" si="23">QUOTIENT( D46-1,$G$20)+1</f>
        <v>1</v>
      </c>
      <c r="C46" s="21">
        <f t="shared" ref="C46" si="24">D46-(B46-1)*$G$20</f>
        <v>9</v>
      </c>
      <c r="D46" s="21">
        <f>COUNT($D$20:$D45)+1</f>
        <v>9</v>
      </c>
      <c r="E46" s="21">
        <f t="shared" si="1"/>
        <v>46</v>
      </c>
      <c r="F46" s="9" t="s">
        <v>142</v>
      </c>
      <c r="G46" s="21">
        <v>60</v>
      </c>
      <c r="M46" s="21">
        <v>18800</v>
      </c>
    </row>
    <row r="47" spans="1:13">
      <c r="E47" s="21">
        <f t="shared" si="1"/>
        <v>47</v>
      </c>
      <c r="F47" s="9" t="s">
        <v>126</v>
      </c>
      <c r="M47" s="21">
        <f t="shared" ref="M47" si="25">G46*D46</f>
        <v>540</v>
      </c>
    </row>
    <row r="48" spans="1:13">
      <c r="A48" s="21" t="s">
        <v>227</v>
      </c>
      <c r="B48" s="21">
        <f t="shared" ref="B48" si="26">QUOTIENT( D48-1,$G$20)+1</f>
        <v>2</v>
      </c>
      <c r="C48" s="21">
        <f t="shared" ref="C48" si="27">D48-(B48-1)*$G$20</f>
        <v>1</v>
      </c>
      <c r="D48" s="21">
        <f>COUNT($D$20:$D47)+1</f>
        <v>10</v>
      </c>
      <c r="E48" s="21">
        <f t="shared" si="1"/>
        <v>48</v>
      </c>
      <c r="F48" s="9" t="s">
        <v>142</v>
      </c>
      <c r="G48" s="21">
        <v>60</v>
      </c>
      <c r="M48" s="21">
        <v>18800</v>
      </c>
    </row>
    <row r="49" spans="1:13">
      <c r="E49" s="21">
        <f t="shared" si="1"/>
        <v>49</v>
      </c>
      <c r="F49" s="9" t="s">
        <v>126</v>
      </c>
      <c r="M49" s="21">
        <f t="shared" ref="M49" si="28">G48*D48</f>
        <v>600</v>
      </c>
    </row>
    <row r="50" spans="1:13">
      <c r="A50" s="21" t="s">
        <v>227</v>
      </c>
      <c r="B50" s="21">
        <f t="shared" ref="B50" si="29">QUOTIENT( D50-1,$G$20)+1</f>
        <v>2</v>
      </c>
      <c r="C50" s="21">
        <f t="shared" ref="C50" si="30">D50-(B50-1)*$G$20</f>
        <v>2</v>
      </c>
      <c r="D50" s="21">
        <f>COUNT($D$20:$D49)+1</f>
        <v>11</v>
      </c>
      <c r="E50" s="21">
        <f t="shared" si="1"/>
        <v>50</v>
      </c>
      <c r="F50" s="9" t="s">
        <v>142</v>
      </c>
      <c r="G50" s="21">
        <v>60</v>
      </c>
      <c r="M50" s="21">
        <v>18800</v>
      </c>
    </row>
    <row r="51" spans="1:13">
      <c r="E51" s="21">
        <f t="shared" si="1"/>
        <v>51</v>
      </c>
      <c r="F51" s="9" t="s">
        <v>126</v>
      </c>
      <c r="M51" s="21">
        <f t="shared" ref="M51" si="31">G50*D50</f>
        <v>660</v>
      </c>
    </row>
    <row r="52" spans="1:13">
      <c r="A52" s="21" t="s">
        <v>227</v>
      </c>
      <c r="B52" s="21">
        <f t="shared" ref="B52" si="32">QUOTIENT( D52-1,$G$20)+1</f>
        <v>2</v>
      </c>
      <c r="C52" s="21">
        <f t="shared" ref="C52" si="33">D52-(B52-1)*$G$20</f>
        <v>3</v>
      </c>
      <c r="D52" s="21">
        <f>COUNT($D$20:$D51)+1</f>
        <v>12</v>
      </c>
      <c r="E52" s="21">
        <f t="shared" si="1"/>
        <v>52</v>
      </c>
      <c r="F52" s="9" t="s">
        <v>142</v>
      </c>
      <c r="G52" s="21">
        <v>60</v>
      </c>
      <c r="M52" s="21">
        <v>18800</v>
      </c>
    </row>
    <row r="53" spans="1:13">
      <c r="E53" s="21">
        <f t="shared" si="1"/>
        <v>53</v>
      </c>
      <c r="F53" s="9" t="s">
        <v>126</v>
      </c>
      <c r="M53" s="21">
        <f t="shared" ref="M53" si="34">G52*D52</f>
        <v>720</v>
      </c>
    </row>
    <row r="54" spans="1:13">
      <c r="A54" s="21" t="s">
        <v>227</v>
      </c>
      <c r="B54" s="21">
        <f t="shared" ref="B54" si="35">QUOTIENT( D54-1,$G$20)+1</f>
        <v>2</v>
      </c>
      <c r="C54" s="21">
        <f t="shared" ref="C54" si="36">D54-(B54-1)*$G$20</f>
        <v>4</v>
      </c>
      <c r="D54" s="21">
        <f>COUNT($D$20:$D53)+1</f>
        <v>13</v>
      </c>
      <c r="E54" s="21">
        <f t="shared" si="1"/>
        <v>54</v>
      </c>
      <c r="F54" s="9" t="s">
        <v>142</v>
      </c>
      <c r="G54" s="21">
        <v>60</v>
      </c>
      <c r="M54" s="21">
        <v>18800</v>
      </c>
    </row>
    <row r="55" spans="1:13">
      <c r="E55" s="21">
        <f t="shared" si="1"/>
        <v>55</v>
      </c>
      <c r="F55" s="9" t="s">
        <v>126</v>
      </c>
      <c r="M55" s="21">
        <f t="shared" ref="M55" si="37">G54*D54</f>
        <v>780</v>
      </c>
    </row>
    <row r="56" spans="1:13">
      <c r="A56" s="21" t="s">
        <v>227</v>
      </c>
      <c r="B56" s="21">
        <f t="shared" ref="B56" si="38">QUOTIENT( D56-1,$G$20)+1</f>
        <v>2</v>
      </c>
      <c r="C56" s="21">
        <f t="shared" ref="C56" si="39">D56-(B56-1)*$G$20</f>
        <v>5</v>
      </c>
      <c r="D56" s="21">
        <f>COUNT($D$20:$D55)+1</f>
        <v>14</v>
      </c>
      <c r="E56" s="21">
        <f t="shared" si="1"/>
        <v>56</v>
      </c>
      <c r="F56" s="9" t="s">
        <v>142</v>
      </c>
      <c r="G56" s="21">
        <v>60</v>
      </c>
      <c r="M56" s="21">
        <v>18800</v>
      </c>
    </row>
    <row r="57" spans="1:13">
      <c r="E57" s="21">
        <f t="shared" si="1"/>
        <v>57</v>
      </c>
      <c r="F57" s="9" t="s">
        <v>126</v>
      </c>
      <c r="M57" s="21">
        <f t="shared" ref="M57" si="40">G56*D56</f>
        <v>840</v>
      </c>
    </row>
    <row r="58" spans="1:13">
      <c r="A58" s="21" t="s">
        <v>227</v>
      </c>
      <c r="B58" s="21">
        <f t="shared" ref="B58" si="41">QUOTIENT( D58-1,$G$20)+1</f>
        <v>2</v>
      </c>
      <c r="C58" s="21">
        <f t="shared" ref="C58" si="42">D58-(B58-1)*$G$20</f>
        <v>6</v>
      </c>
      <c r="D58" s="21">
        <f>COUNT($D$20:$D57)+1</f>
        <v>15</v>
      </c>
      <c r="E58" s="21">
        <f t="shared" si="1"/>
        <v>58</v>
      </c>
      <c r="F58" s="9" t="s">
        <v>142</v>
      </c>
      <c r="G58" s="21">
        <v>60</v>
      </c>
      <c r="M58" s="21">
        <v>18800</v>
      </c>
    </row>
    <row r="59" spans="1:13">
      <c r="E59" s="21">
        <f t="shared" si="1"/>
        <v>59</v>
      </c>
      <c r="F59" s="9" t="s">
        <v>126</v>
      </c>
      <c r="M59" s="21">
        <f t="shared" ref="M59" si="43">G58*D58</f>
        <v>900</v>
      </c>
    </row>
    <row r="60" spans="1:13">
      <c r="A60" s="21" t="s">
        <v>227</v>
      </c>
      <c r="B60" s="21">
        <f t="shared" ref="B60" si="44">QUOTIENT( D60-1,$G$20)+1</f>
        <v>2</v>
      </c>
      <c r="C60" s="21">
        <f t="shared" ref="C60" si="45">D60-(B60-1)*$G$20</f>
        <v>7</v>
      </c>
      <c r="D60" s="21">
        <f>COUNT($D$20:$D59)+1</f>
        <v>16</v>
      </c>
      <c r="E60" s="21">
        <f t="shared" si="1"/>
        <v>60</v>
      </c>
      <c r="F60" s="9" t="s">
        <v>142</v>
      </c>
      <c r="G60" s="21">
        <v>60</v>
      </c>
      <c r="M60" s="21">
        <v>18800</v>
      </c>
    </row>
    <row r="61" spans="1:13">
      <c r="E61" s="21">
        <f t="shared" si="1"/>
        <v>61</v>
      </c>
      <c r="F61" s="9" t="s">
        <v>126</v>
      </c>
      <c r="M61" s="21">
        <f t="shared" ref="M61" si="46">G60*D60</f>
        <v>960</v>
      </c>
    </row>
    <row r="62" spans="1:13">
      <c r="A62" s="21" t="s">
        <v>227</v>
      </c>
      <c r="B62" s="21">
        <f t="shared" ref="B62" si="47">QUOTIENT( D62-1,$G$20)+1</f>
        <v>2</v>
      </c>
      <c r="C62" s="21">
        <f t="shared" ref="C62" si="48">D62-(B62-1)*$G$20</f>
        <v>8</v>
      </c>
      <c r="D62" s="21">
        <f>COUNT($D$20:$D61)+1</f>
        <v>17</v>
      </c>
      <c r="E62" s="21">
        <f t="shared" si="1"/>
        <v>62</v>
      </c>
      <c r="F62" s="9" t="s">
        <v>142</v>
      </c>
      <c r="G62" s="21">
        <v>60</v>
      </c>
      <c r="M62" s="21">
        <v>18800</v>
      </c>
    </row>
    <row r="63" spans="1:13">
      <c r="E63" s="21">
        <f t="shared" si="1"/>
        <v>63</v>
      </c>
      <c r="F63" s="9" t="s">
        <v>126</v>
      </c>
      <c r="M63" s="21">
        <f t="shared" ref="M63" si="49">G62*D62</f>
        <v>1020</v>
      </c>
    </row>
    <row r="64" spans="1:13">
      <c r="A64" s="21" t="s">
        <v>227</v>
      </c>
      <c r="B64" s="21">
        <f t="shared" ref="B64" si="50">QUOTIENT( D64-1,$G$20)+1</f>
        <v>2</v>
      </c>
      <c r="C64" s="21">
        <f t="shared" ref="C64" si="51">D64-(B64-1)*$G$20</f>
        <v>9</v>
      </c>
      <c r="D64" s="21">
        <f>COUNT($D$20:$D63)+1</f>
        <v>18</v>
      </c>
      <c r="E64" s="21">
        <f t="shared" si="1"/>
        <v>64</v>
      </c>
      <c r="F64" s="9" t="s">
        <v>142</v>
      </c>
      <c r="G64" s="21">
        <v>60</v>
      </c>
      <c r="M64" s="21">
        <v>18800</v>
      </c>
    </row>
    <row r="65" spans="1:13">
      <c r="E65" s="21">
        <f t="shared" si="1"/>
        <v>65</v>
      </c>
      <c r="F65" s="9" t="s">
        <v>126</v>
      </c>
      <c r="M65" s="21">
        <f t="shared" ref="M65" si="52">G64*D64</f>
        <v>1080</v>
      </c>
    </row>
    <row r="66" spans="1:13">
      <c r="A66" s="21" t="s">
        <v>227</v>
      </c>
      <c r="B66" s="21">
        <f t="shared" ref="B66" si="53">QUOTIENT( D66-1,$G$20)+1</f>
        <v>3</v>
      </c>
      <c r="C66" s="21">
        <f t="shared" ref="C66" si="54">D66-(B66-1)*$G$20</f>
        <v>1</v>
      </c>
      <c r="D66" s="21">
        <f>COUNT($D$20:$D65)+1</f>
        <v>19</v>
      </c>
      <c r="E66" s="21">
        <f t="shared" si="1"/>
        <v>66</v>
      </c>
      <c r="F66" s="9" t="s">
        <v>142</v>
      </c>
      <c r="G66" s="21">
        <v>60</v>
      </c>
      <c r="M66" s="21">
        <v>18800</v>
      </c>
    </row>
    <row r="67" spans="1:13">
      <c r="E67" s="21">
        <f t="shared" si="1"/>
        <v>67</v>
      </c>
      <c r="F67" s="9" t="s">
        <v>126</v>
      </c>
      <c r="M67" s="21">
        <f t="shared" ref="M67" si="55">G66*D66</f>
        <v>1140</v>
      </c>
    </row>
    <row r="68" spans="1:13">
      <c r="A68" s="21" t="s">
        <v>227</v>
      </c>
      <c r="B68" s="21">
        <f t="shared" ref="B68" si="56">QUOTIENT( D68-1,$G$20)+1</f>
        <v>3</v>
      </c>
      <c r="C68" s="21">
        <f t="shared" ref="C68" si="57">D68-(B68-1)*$G$20</f>
        <v>2</v>
      </c>
      <c r="D68" s="21">
        <f>COUNT($D$20:$D67)+1</f>
        <v>20</v>
      </c>
      <c r="E68" s="21">
        <f t="shared" si="1"/>
        <v>68</v>
      </c>
      <c r="F68" s="9" t="s">
        <v>142</v>
      </c>
      <c r="G68" s="21">
        <v>60</v>
      </c>
      <c r="M68" s="21">
        <v>18800</v>
      </c>
    </row>
    <row r="69" spans="1:13">
      <c r="E69" s="21">
        <f t="shared" si="1"/>
        <v>69</v>
      </c>
      <c r="F69" s="9" t="s">
        <v>126</v>
      </c>
      <c r="M69" s="21">
        <f t="shared" ref="M69" si="58">G68*D68</f>
        <v>1200</v>
      </c>
    </row>
    <row r="70" spans="1:13">
      <c r="A70" s="21" t="s">
        <v>227</v>
      </c>
      <c r="B70" s="21">
        <f t="shared" ref="B70" si="59">QUOTIENT( D70-1,$G$20)+1</f>
        <v>3</v>
      </c>
      <c r="C70" s="21">
        <f t="shared" ref="C70" si="60">D70-(B70-1)*$G$20</f>
        <v>3</v>
      </c>
      <c r="D70" s="21">
        <f>COUNT($D$20:$D69)+1</f>
        <v>21</v>
      </c>
      <c r="E70" s="21">
        <f t="shared" si="1"/>
        <v>70</v>
      </c>
      <c r="F70" s="9" t="s">
        <v>142</v>
      </c>
      <c r="G70" s="21">
        <v>60</v>
      </c>
      <c r="M70" s="21">
        <v>18800</v>
      </c>
    </row>
    <row r="71" spans="1:13">
      <c r="E71" s="21">
        <f t="shared" si="1"/>
        <v>71</v>
      </c>
      <c r="F71" s="9" t="s">
        <v>126</v>
      </c>
      <c r="M71" s="21">
        <f t="shared" ref="M71" si="61">G70*D70</f>
        <v>1260</v>
      </c>
    </row>
    <row r="72" spans="1:13">
      <c r="A72" s="21" t="s">
        <v>227</v>
      </c>
      <c r="B72" s="21">
        <f t="shared" ref="B72" si="62">QUOTIENT( D72-1,$G$20)+1</f>
        <v>3</v>
      </c>
      <c r="C72" s="21">
        <f t="shared" ref="C72" si="63">D72-(B72-1)*$G$20</f>
        <v>4</v>
      </c>
      <c r="D72" s="21">
        <f>COUNT($D$20:$D71)+1</f>
        <v>22</v>
      </c>
      <c r="E72" s="21">
        <f t="shared" si="1"/>
        <v>72</v>
      </c>
      <c r="F72" s="9" t="s">
        <v>142</v>
      </c>
      <c r="G72" s="21">
        <v>60</v>
      </c>
      <c r="M72" s="21">
        <v>18800</v>
      </c>
    </row>
    <row r="73" spans="1:13">
      <c r="E73" s="21">
        <f t="shared" si="1"/>
        <v>73</v>
      </c>
      <c r="F73" s="9" t="s">
        <v>126</v>
      </c>
      <c r="M73" s="21">
        <f t="shared" ref="M73" si="64">G72*D72</f>
        <v>1320</v>
      </c>
    </row>
    <row r="74" spans="1:13">
      <c r="A74" s="21" t="s">
        <v>227</v>
      </c>
      <c r="B74" s="21">
        <f t="shared" ref="B74" si="65">QUOTIENT( D74-1,$G$20)+1</f>
        <v>3</v>
      </c>
      <c r="C74" s="21">
        <f t="shared" ref="C74" si="66">D74-(B74-1)*$G$20</f>
        <v>5</v>
      </c>
      <c r="D74" s="21">
        <f>COUNT($D$20:$D73)+1</f>
        <v>23</v>
      </c>
      <c r="E74" s="21">
        <f t="shared" si="1"/>
        <v>74</v>
      </c>
      <c r="F74" s="9" t="s">
        <v>142</v>
      </c>
      <c r="G74" s="21">
        <v>60</v>
      </c>
      <c r="M74" s="21">
        <v>18800</v>
      </c>
    </row>
    <row r="75" spans="1:13">
      <c r="E75" s="21">
        <f t="shared" si="1"/>
        <v>75</v>
      </c>
      <c r="F75" s="9" t="s">
        <v>126</v>
      </c>
      <c r="M75" s="21">
        <f t="shared" ref="M75" si="67">G74*D74</f>
        <v>1380</v>
      </c>
    </row>
    <row r="76" spans="1:13">
      <c r="A76" s="21" t="s">
        <v>227</v>
      </c>
      <c r="B76" s="21">
        <f t="shared" ref="B76" si="68">QUOTIENT( D76-1,$G$20)+1</f>
        <v>3</v>
      </c>
      <c r="C76" s="21">
        <f t="shared" ref="C76" si="69">D76-(B76-1)*$G$20</f>
        <v>6</v>
      </c>
      <c r="D76" s="21">
        <f>COUNT($D$20:$D75)+1</f>
        <v>24</v>
      </c>
      <c r="E76" s="21">
        <f t="shared" si="1"/>
        <v>76</v>
      </c>
      <c r="F76" s="9" t="s">
        <v>142</v>
      </c>
      <c r="G76" s="21">
        <v>60</v>
      </c>
      <c r="M76" s="21">
        <v>18800</v>
      </c>
    </row>
    <row r="77" spans="1:13">
      <c r="E77" s="21">
        <f t="shared" si="1"/>
        <v>77</v>
      </c>
      <c r="F77" s="9" t="s">
        <v>126</v>
      </c>
      <c r="M77" s="21">
        <f t="shared" ref="M77" si="70">G76*D76</f>
        <v>1440</v>
      </c>
    </row>
    <row r="78" spans="1:13">
      <c r="A78" s="21" t="s">
        <v>227</v>
      </c>
      <c r="B78" s="21">
        <f t="shared" ref="B78" si="71">QUOTIENT( D78-1,$G$20)+1</f>
        <v>3</v>
      </c>
      <c r="C78" s="21">
        <f t="shared" ref="C78" si="72">D78-(B78-1)*$G$20</f>
        <v>7</v>
      </c>
      <c r="D78" s="21">
        <f>COUNT($D$20:$D77)+1</f>
        <v>25</v>
      </c>
      <c r="E78" s="21">
        <f t="shared" si="1"/>
        <v>78</v>
      </c>
      <c r="F78" s="9" t="s">
        <v>142</v>
      </c>
      <c r="G78" s="21">
        <v>60</v>
      </c>
      <c r="M78" s="21">
        <v>18800</v>
      </c>
    </row>
    <row r="79" spans="1:13">
      <c r="E79" s="21">
        <f t="shared" si="1"/>
        <v>79</v>
      </c>
      <c r="F79" s="9" t="s">
        <v>126</v>
      </c>
      <c r="M79" s="21">
        <f t="shared" ref="M79" si="73">G78*D78</f>
        <v>1500</v>
      </c>
    </row>
    <row r="80" spans="1:13">
      <c r="A80" s="21" t="s">
        <v>227</v>
      </c>
      <c r="B80" s="21">
        <f t="shared" ref="B80" si="74">QUOTIENT( D80-1,$G$20)+1</f>
        <v>3</v>
      </c>
      <c r="C80" s="21">
        <f t="shared" ref="C80" si="75">D80-(B80-1)*$G$20</f>
        <v>8</v>
      </c>
      <c r="D80" s="21">
        <f>COUNT($D$20:$D79)+1</f>
        <v>26</v>
      </c>
      <c r="E80" s="21">
        <f t="shared" si="1"/>
        <v>80</v>
      </c>
      <c r="F80" s="9" t="s">
        <v>142</v>
      </c>
      <c r="G80" s="21">
        <v>60</v>
      </c>
      <c r="M80" s="21">
        <v>18800</v>
      </c>
    </row>
    <row r="81" spans="1:13">
      <c r="E81" s="21">
        <f t="shared" si="1"/>
        <v>81</v>
      </c>
      <c r="F81" s="9" t="s">
        <v>126</v>
      </c>
      <c r="M81" s="21">
        <f t="shared" ref="M81" si="76">G80*D80</f>
        <v>1560</v>
      </c>
    </row>
    <row r="82" spans="1:13">
      <c r="A82" s="21" t="s">
        <v>227</v>
      </c>
      <c r="B82" s="21">
        <f t="shared" ref="B82" si="77">QUOTIENT( D82-1,$G$20)+1</f>
        <v>3</v>
      </c>
      <c r="C82" s="21">
        <f t="shared" ref="C82" si="78">D82-(B82-1)*$G$20</f>
        <v>9</v>
      </c>
      <c r="D82" s="21">
        <f>COUNT($D$20:$D81)+1</f>
        <v>27</v>
      </c>
      <c r="E82" s="21">
        <f t="shared" si="1"/>
        <v>82</v>
      </c>
      <c r="F82" s="9" t="s">
        <v>142</v>
      </c>
      <c r="G82" s="21">
        <v>60</v>
      </c>
      <c r="M82" s="21">
        <v>18800</v>
      </c>
    </row>
    <row r="83" spans="1:13">
      <c r="E83" s="21">
        <f t="shared" si="1"/>
        <v>83</v>
      </c>
      <c r="F83" s="9" t="s">
        <v>126</v>
      </c>
      <c r="M83" s="21">
        <f t="shared" ref="M83" si="79">G82*D82</f>
        <v>1620</v>
      </c>
    </row>
    <row r="84" spans="1:13">
      <c r="A84" s="21" t="s">
        <v>227</v>
      </c>
      <c r="B84" s="21">
        <f t="shared" ref="B84" si="80">QUOTIENT( D84-1,$G$20)+1</f>
        <v>4</v>
      </c>
      <c r="C84" s="21">
        <f t="shared" ref="C84" si="81">D84-(B84-1)*$G$20</f>
        <v>1</v>
      </c>
      <c r="D84" s="21">
        <f>COUNT($D$20:$D83)+1</f>
        <v>28</v>
      </c>
      <c r="E84" s="21">
        <f t="shared" si="1"/>
        <v>84</v>
      </c>
      <c r="F84" s="9" t="s">
        <v>142</v>
      </c>
      <c r="G84" s="21">
        <v>60</v>
      </c>
      <c r="M84" s="21">
        <v>18800</v>
      </c>
    </row>
    <row r="85" spans="1:13">
      <c r="E85" s="21">
        <f t="shared" si="1"/>
        <v>85</v>
      </c>
      <c r="F85" s="9" t="s">
        <v>126</v>
      </c>
      <c r="M85" s="21">
        <f t="shared" ref="M85" si="82">G84*D84</f>
        <v>1680</v>
      </c>
    </row>
    <row r="86" spans="1:13">
      <c r="A86" s="21" t="s">
        <v>227</v>
      </c>
      <c r="B86" s="21">
        <f t="shared" ref="B86" si="83">QUOTIENT( D86-1,$G$20)+1</f>
        <v>4</v>
      </c>
      <c r="C86" s="21">
        <f t="shared" ref="C86" si="84">D86-(B86-1)*$G$20</f>
        <v>2</v>
      </c>
      <c r="D86" s="21">
        <f>COUNT($D$20:$D85)+1</f>
        <v>29</v>
      </c>
      <c r="E86" s="21">
        <f t="shared" si="1"/>
        <v>86</v>
      </c>
      <c r="F86" s="9" t="s">
        <v>142</v>
      </c>
      <c r="G86" s="21">
        <v>60</v>
      </c>
      <c r="M86" s="21">
        <v>18800</v>
      </c>
    </row>
    <row r="87" spans="1:13">
      <c r="E87" s="21">
        <f t="shared" si="1"/>
        <v>87</v>
      </c>
      <c r="F87" s="9" t="s">
        <v>126</v>
      </c>
      <c r="M87" s="21">
        <f t="shared" ref="M87" si="85">G86*D86</f>
        <v>1740</v>
      </c>
    </row>
    <row r="88" spans="1:13">
      <c r="A88" s="21" t="s">
        <v>227</v>
      </c>
      <c r="B88" s="21">
        <f t="shared" ref="B88" si="86">QUOTIENT( D88-1,$G$20)+1</f>
        <v>4</v>
      </c>
      <c r="C88" s="21">
        <f t="shared" ref="C88" si="87">D88-(B88-1)*$G$20</f>
        <v>3</v>
      </c>
      <c r="D88" s="21">
        <f>COUNT($D$20:$D87)+1</f>
        <v>30</v>
      </c>
      <c r="E88" s="21">
        <f t="shared" si="1"/>
        <v>88</v>
      </c>
      <c r="F88" s="9" t="s">
        <v>142</v>
      </c>
      <c r="G88" s="21">
        <v>60</v>
      </c>
      <c r="M88" s="21">
        <v>18800</v>
      </c>
    </row>
    <row r="89" spans="1:13">
      <c r="E89" s="21">
        <f t="shared" si="1"/>
        <v>89</v>
      </c>
      <c r="F89" s="9" t="s">
        <v>126</v>
      </c>
      <c r="M89" s="21">
        <f t="shared" ref="M89" si="88">G88*D88</f>
        <v>1800</v>
      </c>
    </row>
    <row r="90" spans="1:13">
      <c r="A90" s="21" t="s">
        <v>227</v>
      </c>
      <c r="B90" s="21">
        <f t="shared" ref="B90" si="89">QUOTIENT( D90-1,$G$20)+1</f>
        <v>4</v>
      </c>
      <c r="C90" s="21">
        <f t="shared" ref="C90" si="90">D90-(B90-1)*$G$20</f>
        <v>4</v>
      </c>
      <c r="D90" s="21">
        <f>COUNT($D$20:$D89)+1</f>
        <v>31</v>
      </c>
      <c r="E90" s="21">
        <f t="shared" si="1"/>
        <v>90</v>
      </c>
      <c r="F90" s="9" t="s">
        <v>142</v>
      </c>
      <c r="G90" s="21">
        <v>60</v>
      </c>
      <c r="M90" s="21">
        <v>18800</v>
      </c>
    </row>
    <row r="91" spans="1:13">
      <c r="E91" s="21">
        <f t="shared" si="1"/>
        <v>91</v>
      </c>
      <c r="F91" s="9" t="s">
        <v>126</v>
      </c>
      <c r="M91" s="21">
        <f t="shared" ref="M91" si="91">G90*D90</f>
        <v>1860</v>
      </c>
    </row>
    <row r="92" spans="1:13">
      <c r="A92" s="21" t="s">
        <v>227</v>
      </c>
      <c r="B92" s="21">
        <f t="shared" ref="B92" si="92">QUOTIENT( D92-1,$G$20)+1</f>
        <v>4</v>
      </c>
      <c r="C92" s="21">
        <f t="shared" ref="C92" si="93">D92-(B92-1)*$G$20</f>
        <v>5</v>
      </c>
      <c r="D92" s="21">
        <f>COUNT($D$20:$D91)+1</f>
        <v>32</v>
      </c>
      <c r="E92" s="21">
        <f t="shared" si="1"/>
        <v>92</v>
      </c>
      <c r="F92" s="9" t="s">
        <v>142</v>
      </c>
      <c r="G92" s="21">
        <v>60</v>
      </c>
      <c r="M92" s="21">
        <v>18800</v>
      </c>
    </row>
    <row r="93" spans="1:13">
      <c r="E93" s="21">
        <f t="shared" si="1"/>
        <v>93</v>
      </c>
      <c r="F93" s="9" t="s">
        <v>126</v>
      </c>
      <c r="M93" s="21">
        <f t="shared" ref="M93" si="94">G92*D92</f>
        <v>1920</v>
      </c>
    </row>
    <row r="94" spans="1:13">
      <c r="A94" s="21" t="s">
        <v>227</v>
      </c>
      <c r="B94" s="21">
        <f t="shared" ref="B94" si="95">QUOTIENT( D94-1,$G$20)+1</f>
        <v>4</v>
      </c>
      <c r="C94" s="21">
        <f t="shared" ref="C94" si="96">D94-(B94-1)*$G$20</f>
        <v>6</v>
      </c>
      <c r="D94" s="21">
        <f>COUNT($D$20:$D93)+1</f>
        <v>33</v>
      </c>
      <c r="E94" s="21">
        <f t="shared" si="1"/>
        <v>94</v>
      </c>
      <c r="F94" s="9" t="s">
        <v>142</v>
      </c>
      <c r="G94" s="21">
        <v>60</v>
      </c>
      <c r="M94" s="21">
        <v>18800</v>
      </c>
    </row>
    <row r="95" spans="1:13">
      <c r="E95" s="21">
        <f t="shared" ref="E95:E119" si="97">ROW(E95)</f>
        <v>95</v>
      </c>
      <c r="F95" s="9" t="s">
        <v>126</v>
      </c>
      <c r="M95" s="21">
        <f t="shared" ref="M95" si="98">G94*D94</f>
        <v>1980</v>
      </c>
    </row>
    <row r="96" spans="1:13">
      <c r="A96" s="21" t="s">
        <v>227</v>
      </c>
      <c r="B96" s="21">
        <f t="shared" ref="B96" si="99">QUOTIENT( D96-1,$G$20)+1</f>
        <v>4</v>
      </c>
      <c r="C96" s="21">
        <f t="shared" ref="C96" si="100">D96-(B96-1)*$G$20</f>
        <v>7</v>
      </c>
      <c r="D96" s="21">
        <f>COUNT($D$20:$D95)+1</f>
        <v>34</v>
      </c>
      <c r="E96" s="21">
        <f t="shared" si="97"/>
        <v>96</v>
      </c>
      <c r="F96" s="9" t="s">
        <v>142</v>
      </c>
      <c r="G96" s="21">
        <v>60</v>
      </c>
      <c r="M96" s="21">
        <v>18800</v>
      </c>
    </row>
    <row r="97" spans="1:13">
      <c r="E97" s="21">
        <f t="shared" si="97"/>
        <v>97</v>
      </c>
      <c r="F97" s="9" t="s">
        <v>126</v>
      </c>
      <c r="M97" s="21">
        <f t="shared" ref="M97" si="101">G96*D96</f>
        <v>2040</v>
      </c>
    </row>
    <row r="98" spans="1:13">
      <c r="A98" s="21" t="s">
        <v>227</v>
      </c>
      <c r="B98" s="21">
        <f t="shared" ref="B98" si="102">QUOTIENT( D98-1,$G$20)+1</f>
        <v>4</v>
      </c>
      <c r="C98" s="21">
        <f t="shared" ref="C98" si="103">D98-(B98-1)*$G$20</f>
        <v>8</v>
      </c>
      <c r="D98" s="21">
        <f>COUNT($D$20:$D97)+1</f>
        <v>35</v>
      </c>
      <c r="E98" s="21">
        <f t="shared" si="97"/>
        <v>98</v>
      </c>
      <c r="F98" s="9" t="s">
        <v>142</v>
      </c>
      <c r="G98" s="21">
        <v>60</v>
      </c>
      <c r="M98" s="21">
        <v>18800</v>
      </c>
    </row>
    <row r="99" spans="1:13">
      <c r="E99" s="21">
        <f t="shared" si="97"/>
        <v>99</v>
      </c>
      <c r="F99" s="9" t="s">
        <v>126</v>
      </c>
      <c r="M99" s="21">
        <f t="shared" ref="M99" si="104">G98*D98</f>
        <v>2100</v>
      </c>
    </row>
    <row r="100" spans="1:13">
      <c r="A100" s="21" t="s">
        <v>227</v>
      </c>
      <c r="B100" s="21">
        <f t="shared" ref="B100" si="105">QUOTIENT( D100-1,$G$20)+1</f>
        <v>4</v>
      </c>
      <c r="C100" s="21">
        <f t="shared" ref="C100" si="106">D100-(B100-1)*$G$20</f>
        <v>9</v>
      </c>
      <c r="D100" s="21">
        <f>COUNT($D$20:$D99)+1</f>
        <v>36</v>
      </c>
      <c r="E100" s="21">
        <f t="shared" si="97"/>
        <v>100</v>
      </c>
      <c r="F100" s="9" t="s">
        <v>142</v>
      </c>
      <c r="G100" s="21">
        <v>60</v>
      </c>
      <c r="M100" s="21">
        <v>18800</v>
      </c>
    </row>
    <row r="101" spans="1:13">
      <c r="E101" s="21">
        <f t="shared" si="97"/>
        <v>101</v>
      </c>
      <c r="F101" s="9" t="s">
        <v>126</v>
      </c>
      <c r="M101" s="21">
        <f t="shared" ref="M101" si="107">G100*D100</f>
        <v>2160</v>
      </c>
    </row>
    <row r="102" spans="1:13">
      <c r="A102" s="21" t="s">
        <v>227</v>
      </c>
      <c r="B102" s="21">
        <f t="shared" ref="B102" si="108">QUOTIENT( D102-1,$G$20)+1</f>
        <v>5</v>
      </c>
      <c r="C102" s="21">
        <f t="shared" ref="C102" si="109">D102-(B102-1)*$G$20</f>
        <v>1</v>
      </c>
      <c r="D102" s="21">
        <f>COUNT($D$20:$D101)+1</f>
        <v>37</v>
      </c>
      <c r="E102" s="21">
        <f t="shared" si="97"/>
        <v>102</v>
      </c>
      <c r="F102" s="9" t="s">
        <v>142</v>
      </c>
      <c r="G102" s="21">
        <v>60</v>
      </c>
      <c r="M102" s="21">
        <v>18800</v>
      </c>
    </row>
    <row r="103" spans="1:13">
      <c r="E103" s="21">
        <f t="shared" si="97"/>
        <v>103</v>
      </c>
      <c r="F103" s="9" t="s">
        <v>126</v>
      </c>
      <c r="M103" s="21">
        <f t="shared" ref="M103" si="110">G102*D102</f>
        <v>2220</v>
      </c>
    </row>
    <row r="104" spans="1:13">
      <c r="A104" s="21" t="s">
        <v>227</v>
      </c>
      <c r="B104" s="21">
        <f t="shared" ref="B104" si="111">QUOTIENT( D104-1,$G$20)+1</f>
        <v>5</v>
      </c>
      <c r="C104" s="21">
        <f t="shared" ref="C104" si="112">D104-(B104-1)*$G$20</f>
        <v>2</v>
      </c>
      <c r="D104" s="21">
        <f>COUNT($D$20:$D103)+1</f>
        <v>38</v>
      </c>
      <c r="E104" s="21">
        <f t="shared" si="97"/>
        <v>104</v>
      </c>
      <c r="F104" s="9" t="s">
        <v>142</v>
      </c>
      <c r="G104" s="21">
        <v>60</v>
      </c>
      <c r="M104" s="21">
        <v>18800</v>
      </c>
    </row>
    <row r="105" spans="1:13">
      <c r="E105" s="21">
        <f t="shared" si="97"/>
        <v>105</v>
      </c>
      <c r="F105" s="9" t="s">
        <v>126</v>
      </c>
      <c r="M105" s="21">
        <f t="shared" ref="M105" si="113">G104*D104</f>
        <v>2280</v>
      </c>
    </row>
    <row r="106" spans="1:13">
      <c r="A106" s="21" t="s">
        <v>227</v>
      </c>
      <c r="B106" s="21">
        <f t="shared" ref="B106" si="114">QUOTIENT( D106-1,$G$20)+1</f>
        <v>5</v>
      </c>
      <c r="C106" s="21">
        <f t="shared" ref="C106" si="115">D106-(B106-1)*$G$20</f>
        <v>3</v>
      </c>
      <c r="D106" s="21">
        <f>COUNT($D$20:$D105)+1</f>
        <v>39</v>
      </c>
      <c r="E106" s="21">
        <f t="shared" si="97"/>
        <v>106</v>
      </c>
      <c r="F106" s="9" t="s">
        <v>142</v>
      </c>
      <c r="G106" s="21">
        <v>60</v>
      </c>
      <c r="M106" s="21">
        <v>18800</v>
      </c>
    </row>
    <row r="107" spans="1:13">
      <c r="E107" s="21">
        <f t="shared" si="97"/>
        <v>107</v>
      </c>
      <c r="F107" s="9" t="s">
        <v>126</v>
      </c>
      <c r="M107" s="21">
        <f t="shared" ref="M107" si="116">G106*D106</f>
        <v>2340</v>
      </c>
    </row>
    <row r="108" spans="1:13">
      <c r="A108" s="21" t="s">
        <v>227</v>
      </c>
      <c r="B108" s="21">
        <f t="shared" ref="B108" si="117">QUOTIENT( D108-1,$G$20)+1</f>
        <v>5</v>
      </c>
      <c r="C108" s="21">
        <f t="shared" ref="C108" si="118">D108-(B108-1)*$G$20</f>
        <v>4</v>
      </c>
      <c r="D108" s="21">
        <f>COUNT($D$20:$D107)+1</f>
        <v>40</v>
      </c>
      <c r="E108" s="21">
        <f t="shared" si="97"/>
        <v>108</v>
      </c>
      <c r="F108" s="9" t="s">
        <v>142</v>
      </c>
      <c r="G108" s="21">
        <v>60</v>
      </c>
      <c r="M108" s="21">
        <v>18800</v>
      </c>
    </row>
    <row r="109" spans="1:13">
      <c r="E109" s="21">
        <f t="shared" si="97"/>
        <v>109</v>
      </c>
      <c r="F109" s="9" t="s">
        <v>126</v>
      </c>
      <c r="M109" s="21">
        <f t="shared" ref="M109" si="119">G108*D108</f>
        <v>2400</v>
      </c>
    </row>
    <row r="110" spans="1:13">
      <c r="A110" s="21" t="s">
        <v>227</v>
      </c>
      <c r="B110" s="21">
        <f t="shared" ref="B110" si="120">QUOTIENT( D110-1,$G$20)+1</f>
        <v>5</v>
      </c>
      <c r="C110" s="21">
        <f t="shared" ref="C110" si="121">D110-(B110-1)*$G$20</f>
        <v>5</v>
      </c>
      <c r="D110" s="21">
        <f>COUNT($D$20:$D109)+1</f>
        <v>41</v>
      </c>
      <c r="E110" s="21">
        <f t="shared" si="97"/>
        <v>110</v>
      </c>
      <c r="F110" s="9" t="s">
        <v>142</v>
      </c>
      <c r="G110" s="21">
        <v>60</v>
      </c>
      <c r="M110" s="21">
        <v>18800</v>
      </c>
    </row>
    <row r="111" spans="1:13">
      <c r="E111" s="21">
        <f t="shared" si="97"/>
        <v>111</v>
      </c>
      <c r="F111" s="9" t="s">
        <v>126</v>
      </c>
      <c r="M111" s="21">
        <f t="shared" ref="M111" si="122">G110*D110</f>
        <v>2460</v>
      </c>
    </row>
    <row r="112" spans="1:13">
      <c r="A112" s="21" t="s">
        <v>227</v>
      </c>
      <c r="B112" s="21">
        <f t="shared" ref="B112" si="123">QUOTIENT( D112-1,$G$20)+1</f>
        <v>5</v>
      </c>
      <c r="C112" s="21">
        <f t="shared" ref="C112" si="124">D112-(B112-1)*$G$20</f>
        <v>6</v>
      </c>
      <c r="D112" s="21">
        <f>COUNT($D$20:$D111)+1</f>
        <v>42</v>
      </c>
      <c r="E112" s="21">
        <f t="shared" si="97"/>
        <v>112</v>
      </c>
      <c r="F112" s="9" t="s">
        <v>142</v>
      </c>
      <c r="G112" s="21">
        <v>60</v>
      </c>
      <c r="M112" s="21">
        <v>18800</v>
      </c>
    </row>
    <row r="113" spans="1:13">
      <c r="E113" s="21">
        <f t="shared" si="97"/>
        <v>113</v>
      </c>
      <c r="F113" s="9" t="s">
        <v>126</v>
      </c>
      <c r="M113" s="21">
        <f t="shared" ref="M113" si="125">G112*D112</f>
        <v>2520</v>
      </c>
    </row>
    <row r="114" spans="1:13">
      <c r="A114" s="21" t="s">
        <v>227</v>
      </c>
      <c r="B114" s="21">
        <f t="shared" ref="B114" si="126">QUOTIENT( D114-1,$G$20)+1</f>
        <v>5</v>
      </c>
      <c r="C114" s="21">
        <f t="shared" ref="C114" si="127">D114-(B114-1)*$G$20</f>
        <v>7</v>
      </c>
      <c r="D114" s="21">
        <f>COUNT($D$20:$D113)+1</f>
        <v>43</v>
      </c>
      <c r="E114" s="21">
        <f t="shared" si="97"/>
        <v>114</v>
      </c>
      <c r="F114" s="9" t="s">
        <v>142</v>
      </c>
      <c r="G114" s="21">
        <v>60</v>
      </c>
      <c r="M114" s="21">
        <v>18800</v>
      </c>
    </row>
    <row r="115" spans="1:13">
      <c r="E115" s="21">
        <f t="shared" si="97"/>
        <v>115</v>
      </c>
      <c r="F115" s="9" t="s">
        <v>126</v>
      </c>
      <c r="M115" s="21">
        <f t="shared" ref="M115" si="128">G114*D114</f>
        <v>2580</v>
      </c>
    </row>
    <row r="116" spans="1:13">
      <c r="A116" s="21" t="s">
        <v>227</v>
      </c>
      <c r="B116" s="21">
        <f t="shared" ref="B116" si="129">QUOTIENT( D116-1,$G$20)+1</f>
        <v>5</v>
      </c>
      <c r="C116" s="21">
        <f t="shared" ref="C116" si="130">D116-(B116-1)*$G$20</f>
        <v>8</v>
      </c>
      <c r="D116" s="21">
        <f>COUNT($D$20:$D115)+1</f>
        <v>44</v>
      </c>
      <c r="E116" s="21">
        <f t="shared" si="97"/>
        <v>116</v>
      </c>
      <c r="F116" s="9" t="s">
        <v>142</v>
      </c>
      <c r="G116" s="21">
        <v>60</v>
      </c>
      <c r="M116" s="21">
        <v>18800</v>
      </c>
    </row>
    <row r="117" spans="1:13">
      <c r="E117" s="21">
        <f t="shared" si="97"/>
        <v>117</v>
      </c>
      <c r="F117" s="9" t="s">
        <v>126</v>
      </c>
      <c r="M117" s="21">
        <f t="shared" ref="M117" si="131">G116*D116</f>
        <v>2640</v>
      </c>
    </row>
    <row r="118" spans="1:13">
      <c r="A118" s="21" t="s">
        <v>227</v>
      </c>
      <c r="B118" s="21">
        <f t="shared" ref="B118" si="132">QUOTIENT( D118-1,$G$20)+1</f>
        <v>5</v>
      </c>
      <c r="C118" s="21">
        <f t="shared" ref="C118" si="133">D118-(B118-1)*$G$20</f>
        <v>9</v>
      </c>
      <c r="D118" s="21">
        <f>COUNT($D$20:$D117)+1</f>
        <v>45</v>
      </c>
      <c r="E118" s="21">
        <f t="shared" si="97"/>
        <v>118</v>
      </c>
      <c r="F118" s="9" t="s">
        <v>142</v>
      </c>
      <c r="G118" s="21">
        <v>60</v>
      </c>
      <c r="M118" s="21">
        <v>18800</v>
      </c>
    </row>
    <row r="119" spans="1:13">
      <c r="E119" s="21">
        <f t="shared" si="97"/>
        <v>119</v>
      </c>
      <c r="F119" s="9" t="s">
        <v>126</v>
      </c>
      <c r="M119" s="21">
        <f t="shared" ref="M119" si="134">G118*D118</f>
        <v>2700</v>
      </c>
    </row>
  </sheetData>
  <phoneticPr fontId="2" type="noConversion"/>
  <conditionalFormatting sqref="BE1:XFD1 E1:I1">
    <cfRule type="duplicateValues" dxfId="49" priority="1879"/>
  </conditionalFormatting>
  <conditionalFormatting sqref="F1:F2">
    <cfRule type="cellIs" dxfId="48" priority="1380" operator="equal">
      <formula>"ID"</formula>
    </cfRule>
    <cfRule type="cellIs" dxfId="47" priority="1795" operator="equal">
      <formula>"行動序號"</formula>
    </cfRule>
  </conditionalFormatting>
  <conditionalFormatting sqref="J1">
    <cfRule type="duplicateValues" dxfId="46" priority="1378"/>
  </conditionalFormatting>
  <conditionalFormatting sqref="K1:L1">
    <cfRule type="duplicateValues" dxfId="45" priority="1375"/>
  </conditionalFormatting>
  <conditionalFormatting sqref="M1:M2 M5:M1048576">
    <cfRule type="expression" dxfId="44" priority="990">
      <formula>_xlfn.ISFORMULA(M1)</formula>
    </cfRule>
  </conditionalFormatting>
  <conditionalFormatting sqref="N1:BD1">
    <cfRule type="duplicateValues" dxfId="43" priority="1895"/>
  </conditionalFormatting>
  <conditionalFormatting sqref="F1:F2 F5:F1048576">
    <cfRule type="cellIs" dxfId="42" priority="93" operator="equal">
      <formula>"ID"</formula>
    </cfRule>
    <cfRule type="cellIs" dxfId="41" priority="94" operator="equal">
      <formula>"行動ID"</formula>
    </cfRule>
  </conditionalFormatting>
  <conditionalFormatting sqref="M1:M2 M5:M1048576">
    <cfRule type="expression" dxfId="40" priority="54">
      <formula>AND(_xlfn.ISFORMULA(M1),OR($F1="行動ID", $F1="ID"))</formula>
    </cfRule>
    <cfRule type="expression" dxfId="39" priority="56">
      <formula>OR($F1="行動ID", $F1="ID")</formula>
    </cfRule>
  </conditionalFormatting>
  <dataValidations count="1">
    <dataValidation type="list" allowBlank="1" showInputMessage="1" showErrorMessage="1" sqref="L4 F26 K19 L513 L24 F29 F3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stage7_card10shot3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2025-04-24T10:00:06Z</dcterms:modified>
</cp:coreProperties>
</file>