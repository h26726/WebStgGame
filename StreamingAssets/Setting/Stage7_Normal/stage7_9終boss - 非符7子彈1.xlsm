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33705356-0038-47A5-9CCB-5FDD3252595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notcard7shot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'#OPTION'!$C$2:$C$8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75" i="1" l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M149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M123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M97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M71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D46" i="1"/>
  <c r="E207" i="1"/>
  <c r="E194" i="1"/>
  <c r="E193" i="1"/>
  <c r="E192" i="1"/>
  <c r="E191" i="1"/>
  <c r="E190" i="1"/>
  <c r="E189" i="1"/>
  <c r="E188" i="1"/>
  <c r="E187" i="1"/>
  <c r="E186" i="1"/>
  <c r="E36" i="1"/>
  <c r="E34" i="1"/>
  <c r="E37" i="1"/>
  <c r="E38" i="1"/>
  <c r="E39" i="1"/>
  <c r="E40" i="1"/>
  <c r="E41" i="1"/>
  <c r="E42" i="1"/>
  <c r="E43" i="1"/>
  <c r="E44" i="1"/>
  <c r="E45" i="1"/>
  <c r="E200" i="1"/>
  <c r="E201" i="1"/>
  <c r="E208" i="1"/>
  <c r="E206" i="1"/>
  <c r="E205" i="1"/>
  <c r="E204" i="1"/>
  <c r="E203" i="1"/>
  <c r="E202" i="1"/>
  <c r="E199" i="1"/>
  <c r="E29" i="1"/>
  <c r="E28" i="1"/>
  <c r="E27" i="1"/>
  <c r="D72" i="1" l="1"/>
  <c r="M47" i="1"/>
  <c r="B46" i="1"/>
  <c r="C46" i="1" s="1"/>
  <c r="M45" i="1"/>
  <c r="M57" i="1" l="1"/>
  <c r="M55" i="1"/>
  <c r="M64" i="1"/>
  <c r="M63" i="1"/>
  <c r="M66" i="1" s="1"/>
  <c r="C72" i="1"/>
  <c r="M73" i="1"/>
  <c r="B72" i="1"/>
  <c r="D98" i="1"/>
  <c r="E35" i="1"/>
  <c r="E33" i="1"/>
  <c r="E32" i="1"/>
  <c r="E31" i="1"/>
  <c r="E30" i="1"/>
  <c r="E26" i="1"/>
  <c r="E25" i="1"/>
  <c r="E24" i="1"/>
  <c r="E23" i="1"/>
  <c r="E22" i="1"/>
  <c r="E21" i="1"/>
  <c r="D20" i="1"/>
  <c r="A19" i="1"/>
  <c r="M90" i="1" l="1"/>
  <c r="M89" i="1"/>
  <c r="M92" i="1" s="1"/>
  <c r="B98" i="1"/>
  <c r="C98" i="1" s="1"/>
  <c r="M99" i="1"/>
  <c r="D150" i="1"/>
  <c r="D124" i="1"/>
  <c r="M81" i="1"/>
  <c r="M83" i="1"/>
  <c r="M21" i="1"/>
  <c r="M38" i="1" s="1"/>
  <c r="B20" i="1"/>
  <c r="C20" i="1" s="1"/>
  <c r="M31" i="1" s="1"/>
  <c r="M107" i="1" l="1"/>
  <c r="M109" i="1"/>
  <c r="M151" i="1"/>
  <c r="B150" i="1"/>
  <c r="C150" i="1" s="1"/>
  <c r="M116" i="1"/>
  <c r="M115" i="1"/>
  <c r="M118" i="1" s="1"/>
  <c r="B124" i="1"/>
  <c r="C124" i="1"/>
  <c r="M125" i="1"/>
  <c r="M29" i="1"/>
  <c r="M37" i="1"/>
  <c r="M40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61" i="1" l="1"/>
  <c r="M159" i="1"/>
  <c r="M133" i="1"/>
  <c r="M135" i="1"/>
  <c r="M168" i="1"/>
  <c r="M167" i="1"/>
  <c r="M170" i="1" s="1"/>
  <c r="M142" i="1"/>
  <c r="M141" i="1"/>
  <c r="M144" i="1" s="1"/>
</calcChain>
</file>

<file path=xl/sharedStrings.xml><?xml version="1.0" encoding="utf-8"?>
<sst xmlns="http://schemas.openxmlformats.org/spreadsheetml/2006/main" count="677" uniqueCount="262">
  <si>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</si>
  <si>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</si>
  <si>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</si>
  <si>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</si>
  <si>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</si>
  <si>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</si>
  <si>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</si>
  <si>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</si>
  <si>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</si>
  <si>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</si>
  <si>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</si>
  <si>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</si>
  <si>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</si>
  <si>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</si>
  <si>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</si>
  <si>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</si>
  <si>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</si>
  <si>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</si>
  <si>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</si>
  <si>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</si>
  <si>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</si>
  <si>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</si>
  <si>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</si>
  <si>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</si>
  <si>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</si>
  <si>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</si>
  <si>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</si>
  <si>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</si>
  <si>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</si>
  <si>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</si>
  <si>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</si>
  <si>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</si>
  <si>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</si>
  <si>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</si>
  <si>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</si>
  <si>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</si>
  <si>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</si>
  <si>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</si>
  <si>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</si>
  <si>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</si>
  <si>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</si>
  <si>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</si>
  <si>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</si>
  <si>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</si>
  <si>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</si>
  <si>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</si>
  <si>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</si>
  <si>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</si>
  <si>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</si>
  <si>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</si>
  <si>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</si>
  <si>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</si>
  <si>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</si>
  <si>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</si>
  <si>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</si>
  <si>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</si>
  <si>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</si>
  <si>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</si>
  <si>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</si>
  <si>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</si>
  <si>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</si>
  <si>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</si>
  <si>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</si>
  <si>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</si>
  <si>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</si>
  <si>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</si>
  <si>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</si>
  <si>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</si>
  <si>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</si>
  <si>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</si>
  <si>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</si>
  <si>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</si>
  <si>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</si>
  <si>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</si>
  <si>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</si>
  <si>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</si>
  <si>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</si>
  <si>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</si>
  <si>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</si>
  <si>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</si>
  <si>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</si>
  <si>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</si>
  <si>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</si>
  <si>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</si>
  <si>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</si>
  <si>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</si>
  <si>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</si>
  <si>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</si>
  <si>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</si>
  <si>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</si>
  <si>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</si>
  <si>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</si>
  <si>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</si>
  <si>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</si>
  <si>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</si>
  <si>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</si>
  <si>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</si>
  <si>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</si>
  <si>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</si>
  <si>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</si>
  <si>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</si>
  <si>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</si>
  <si>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</si>
  <si>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</si>
  <si>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</si>
  <si>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</si>
  <si>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</si>
  <si>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</si>
  <si>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</si>
  <si>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</si>
  <si>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</si>
  <si>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</si>
  <si>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</si>
  <si>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</si>
  <si>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</si>
  <si>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</si>
  <si>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</si>
  <si>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</si>
  <si>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</si>
  <si>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</si>
  <si>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</si>
  <si>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</si>
  <si>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</si>
  <si>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</si>
  <si>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</si>
  <si>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</si>
  <si>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</si>
  <si>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</si>
  <si>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</si>
  <si>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</si>
  <si>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</si>
  <si>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</si>
  <si>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</si>
  <si>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</si>
  <si>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</si>
  <si>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</si>
  <si>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</si>
  <si>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</si>
  <si>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</si>
  <si>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</si>
  <si>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</si>
  <si>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</si>
  <si>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</si>
  <si>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</si>
  <si>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</si>
  <si>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移位置</t>
    <phoneticPr fontId="2" type="noConversion"/>
  </si>
  <si>
    <t>回收距離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</si>
  <si>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</si>
  <si>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</si>
  <si>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</si>
  <si>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</si>
  <si>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</si>
  <si>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</si>
  <si>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</si>
  <si>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</si>
  <si>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</si>
  <si>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</si>
  <si>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</si>
  <si>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</si>
  <si>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</si>
  <si>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</si>
  <si>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</si>
  <si>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</si>
  <si>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</si>
  <si>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</si>
  <si>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</si>
  <si>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</si>
  <si>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</si>
  <si>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</si>
  <si>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</si>
  <si>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</si>
  <si>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</si>
  <si>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</si>
  <si>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</si>
  <si>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</si>
  <si>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</si>
  <si>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</si>
  <si>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</si>
  <si>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</si>
  <si>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</si>
  <si>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</si>
  <si>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</si>
  <si>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</si>
  <si>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</si>
  <si>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</si>
  <si>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</si>
  <si>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</si>
  <si>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</si>
  <si>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</si>
  <si>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</si>
  <si>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</si>
  <si>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</si>
  <si>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</si>
  <si>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</si>
  <si>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</si>
  <si>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</si>
  <si>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</si>
  <si>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</si>
  <si>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</si>
  <si>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</si>
  <si>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</si>
  <si>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</si>
  <si>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</si>
  <si>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</si>
  <si>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</si>
  <si>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</si>
  <si>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</si>
  <si>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</si>
  <si>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</si>
  <si>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</si>
  <si>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</si>
  <si>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</si>
  <si>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</si>
  <si>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</si>
  <si>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</si>
  <si>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</si>
  <si>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</si>
  <si>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</si>
  <si>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</si>
  <si>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</si>
  <si>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</si>
  <si>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</si>
  <si>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</si>
  <si>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</si>
  <si>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</si>
  <si>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</si>
  <si>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</si>
  <si>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</si>
  <si>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</si>
  <si>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</si>
  <si>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</si>
  <si>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</si>
  <si>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</si>
  <si>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</si>
  <si>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</si>
  <si>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</si>
  <si>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</si>
  <si>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</si>
  <si>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Shot3_purple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</si>
  <si>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</si>
  <si>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</si>
  <si>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</si>
  <si>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</si>
  <si>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</si>
  <si>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</si>
  <si>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</si>
  <si>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</si>
  <si>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</si>
  <si>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</si>
  <si>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EnemyShot3</t>
    <phoneticPr fontId="2" type="noConversion"/>
  </si>
  <si>
    <t>角度ID移動角度</t>
    <phoneticPr fontId="2" type="noConversion"/>
  </si>
  <si>
    <t>7</t>
    <phoneticPr fontId="2" type="noConversion"/>
  </si>
  <si>
    <t>EnemyShot3</t>
  </si>
  <si>
    <t>Shot3_purple</t>
  </si>
  <si>
    <t>EnemyShot1</t>
    <phoneticPr fontId="2" type="noConversion"/>
  </si>
  <si>
    <t>Shot1_purple</t>
    <phoneticPr fontId="2" type="noConversion"/>
  </si>
  <si>
    <t>角度ID移動角度</t>
  </si>
  <si>
    <t>2,0</t>
    <phoneticPr fontId="2" type="noConversion"/>
  </si>
  <si>
    <t>BOSS彈</t>
    <phoneticPr fontId="2" type="noConversion"/>
  </si>
  <si>
    <t>EnemyShot5</t>
    <phoneticPr fontId="2" type="noConversion"/>
  </si>
  <si>
    <t>Shot5_red</t>
    <phoneticPr fontId="2" type="noConversion"/>
  </si>
  <si>
    <t>1,3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</si>
</sst>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2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208"/>
  <sheetViews>
    <sheetView tabSelected="1" zoomScale="115" zoomScaleNormal="115" workbookViewId="0">
      <pane ySplit="1" topLeftCell="A8" activePane="bottomLeft" state="frozen"/>
      <selection pane="bottomLeft" activeCell="L17" sqref="L17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R18" s="12"/>
      <c r="S18" s="9"/>
      <c r="U18" s="12"/>
      <c r="X18" s="15"/>
      <c r="AE18" s="16"/>
      <c r="BH18" s="9"/>
    </row>
    <row r="19" spans="1:60">
      <c r="A19" s="21">
        <f>G21*H21</f>
        <v>6</v>
      </c>
      <c r="B19" s="9"/>
      <c r="C19" s="9"/>
      <c r="D19" s="9"/>
      <c r="R19" s="12"/>
      <c r="S19" s="9"/>
      <c r="U19" s="12"/>
      <c r="X19" s="15"/>
      <c r="AE19" s="16"/>
      <c r="BH19" s="9"/>
    </row>
    <row r="20" spans="1:60">
      <c r="A20" s="9" t="s">
        <v>230</v>
      </c>
      <c r="B20" s="21">
        <f>QUOTIENT( D20-1,G21)+1</f>
        <v>1</v>
      </c>
      <c r="C20" s="21">
        <f>D20-(B20-1)*G21</f>
        <v>1</v>
      </c>
      <c r="D20" s="21">
        <f>COUNT($D$14:$D19)+1</f>
        <v>1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93</v>
      </c>
      <c r="G21" s="21">
        <v>6</v>
      </c>
      <c r="H21" s="21">
        <v>1</v>
      </c>
      <c r="J21" s="21">
        <v>15800</v>
      </c>
      <c r="M21" s="21">
        <f>J21+D20</f>
        <v>15801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 t="shared" ref="E22:E45" si="0">ROW(E22)</f>
        <v>22</v>
      </c>
      <c r="F22" s="9" t="s">
        <v>143</v>
      </c>
      <c r="M22" s="21">
        <v>15710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 t="shared" si="0"/>
        <v>23</v>
      </c>
      <c r="F23" s="9" t="s">
        <v>128</v>
      </c>
      <c r="M23" s="21">
        <v>0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si="0"/>
        <v>24</v>
      </c>
      <c r="F24" s="9" t="s">
        <v>96</v>
      </c>
      <c r="M24" s="21" t="s">
        <v>249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119</v>
      </c>
      <c r="M25" s="21" t="s">
        <v>238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145</v>
      </c>
      <c r="K26" s="9" t="s">
        <v>138</v>
      </c>
      <c r="M26" s="21">
        <v>5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178</v>
      </c>
      <c r="K27" s="9" t="s">
        <v>221</v>
      </c>
      <c r="M27" s="27">
        <v>4.2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134</v>
      </c>
      <c r="K28" s="9" t="s">
        <v>222</v>
      </c>
      <c r="R28" s="12"/>
      <c r="S28" s="9"/>
      <c r="U28" s="12"/>
      <c r="X28" s="15"/>
      <c r="AE28" s="16"/>
      <c r="BH28" s="9"/>
    </row>
    <row r="29" spans="1:60">
      <c r="A29" s="9"/>
      <c r="B29" s="9"/>
      <c r="E29" s="21">
        <f t="shared" si="0"/>
        <v>29</v>
      </c>
      <c r="F29" s="9" t="s">
        <v>185</v>
      </c>
      <c r="G29" s="21">
        <v>360</v>
      </c>
      <c r="L29" s="9" t="s">
        <v>135</v>
      </c>
      <c r="M29" s="21">
        <f>G29/G21*C20</f>
        <v>60</v>
      </c>
      <c r="R29" s="12"/>
      <c r="S29" s="9"/>
      <c r="U29" s="12"/>
      <c r="X29" s="15"/>
      <c r="AE29" s="16"/>
      <c r="BH29" s="9"/>
    </row>
    <row r="30" spans="1:60">
      <c r="A30" s="9"/>
      <c r="B30" s="9"/>
      <c r="E30" s="21">
        <f t="shared" si="0"/>
        <v>30</v>
      </c>
      <c r="F30" s="9" t="s">
        <v>30</v>
      </c>
      <c r="M30" s="21">
        <v>3</v>
      </c>
      <c r="R30" s="12"/>
      <c r="S30" s="9"/>
      <c r="U30" s="12"/>
      <c r="X30" s="15"/>
      <c r="AE30" s="16"/>
      <c r="BH30" s="9"/>
    </row>
    <row r="31" spans="1:60">
      <c r="A31" s="9"/>
      <c r="B31" s="9"/>
      <c r="E31" s="21">
        <f t="shared" si="0"/>
        <v>31</v>
      </c>
      <c r="F31" s="9" t="s">
        <v>31</v>
      </c>
      <c r="G31" s="21">
        <v>360</v>
      </c>
      <c r="L31" s="9" t="s">
        <v>135</v>
      </c>
      <c r="M31" s="21">
        <f>G31/G21*(C20+1)</f>
        <v>120</v>
      </c>
      <c r="R31" s="12"/>
      <c r="S31" s="9"/>
      <c r="U31" s="12"/>
      <c r="X31" s="15"/>
      <c r="AE31" s="16"/>
      <c r="BH31" s="9"/>
    </row>
    <row r="32" spans="1:60">
      <c r="A32" s="9"/>
      <c r="B32" s="9"/>
      <c r="E32" s="21">
        <f t="shared" si="0"/>
        <v>32</v>
      </c>
      <c r="F32" s="9" t="s">
        <v>112</v>
      </c>
      <c r="L32" s="9" t="s">
        <v>135</v>
      </c>
      <c r="M32" s="21">
        <v>180</v>
      </c>
      <c r="R32" s="12"/>
      <c r="S32" s="9"/>
      <c r="U32" s="12"/>
      <c r="X32" s="15"/>
      <c r="AE32" s="16"/>
      <c r="BH32" s="9"/>
    </row>
    <row r="33" spans="1:60" s="21" customFormat="1">
      <c r="A33" s="9"/>
      <c r="B33" s="9"/>
      <c r="E33" s="21">
        <f t="shared" si="0"/>
        <v>33</v>
      </c>
      <c r="F33" s="9" t="s">
        <v>146</v>
      </c>
      <c r="J33" s="9"/>
      <c r="K33" s="9"/>
      <c r="L33" s="9"/>
      <c r="M33" s="21">
        <v>10000</v>
      </c>
      <c r="N33" s="9"/>
      <c r="O33" s="9"/>
      <c r="P33" s="9"/>
      <c r="Q33" s="9"/>
      <c r="R33" s="12"/>
      <c r="S33" s="9"/>
      <c r="T33" s="9"/>
      <c r="U33" s="12"/>
      <c r="V33" s="12"/>
      <c r="W33" s="12"/>
      <c r="X33" s="15"/>
      <c r="Y33" s="15"/>
      <c r="Z33" s="15"/>
      <c r="AA33" s="15"/>
      <c r="AB33" s="15"/>
      <c r="AC33" s="15"/>
      <c r="AD33" s="15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</row>
    <row r="34" spans="1:60" s="21" customFormat="1">
      <c r="A34" s="9"/>
      <c r="B34" s="9"/>
      <c r="E34" s="21">
        <f t="shared" si="0"/>
        <v>34</v>
      </c>
      <c r="F34" s="9" t="s">
        <v>118</v>
      </c>
      <c r="J34" s="9"/>
      <c r="K34" s="9"/>
      <c r="L34" s="9"/>
      <c r="M34" s="21" t="b">
        <v>1</v>
      </c>
      <c r="N34" s="9"/>
      <c r="O34" s="9"/>
      <c r="P34" s="9"/>
      <c r="Q34" s="9"/>
      <c r="R34" s="12"/>
      <c r="S34" s="9"/>
      <c r="T34" s="9"/>
      <c r="U34" s="12"/>
      <c r="V34" s="12"/>
      <c r="W34" s="12"/>
      <c r="X34" s="15"/>
      <c r="Y34" s="15"/>
      <c r="Z34" s="15"/>
      <c r="AA34" s="15"/>
      <c r="AB34" s="15"/>
      <c r="AC34" s="15"/>
      <c r="AD34" s="15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</row>
    <row r="35" spans="1:60" s="21" customFormat="1">
      <c r="A35" s="9"/>
      <c r="B35" s="9"/>
      <c r="E35" s="21">
        <f t="shared" si="0"/>
        <v>35</v>
      </c>
      <c r="F35" s="9" t="s">
        <v>197</v>
      </c>
      <c r="J35" s="9"/>
      <c r="K35" s="9"/>
      <c r="L35" s="9"/>
      <c r="M35" s="26">
        <v>0.25</v>
      </c>
      <c r="N35" s="9"/>
      <c r="O35" s="9"/>
      <c r="P35" s="9"/>
      <c r="Q35" s="9"/>
      <c r="R35" s="12"/>
      <c r="S35" s="9"/>
      <c r="T35" s="9"/>
      <c r="U35" s="12"/>
      <c r="V35" s="12"/>
      <c r="W35" s="12"/>
      <c r="X35" s="15"/>
      <c r="Y35" s="15"/>
      <c r="Z35" s="15"/>
      <c r="AA35" s="15"/>
      <c r="AB35" s="15"/>
      <c r="AC35" s="15"/>
      <c r="AD35" s="15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</row>
    <row r="36" spans="1:60" s="21" customFormat="1">
      <c r="A36" s="9"/>
      <c r="B36" s="9"/>
      <c r="E36" s="21">
        <f t="shared" si="0"/>
        <v>36</v>
      </c>
      <c r="F36" s="9" t="s">
        <v>199</v>
      </c>
      <c r="J36" s="9"/>
      <c r="K36" s="9"/>
      <c r="L36" s="9"/>
      <c r="M36" s="26">
        <v>40</v>
      </c>
      <c r="N36" s="9"/>
      <c r="O36" s="9"/>
      <c r="P36" s="9"/>
      <c r="Q36" s="9"/>
      <c r="R36" s="12"/>
      <c r="S36" s="9"/>
      <c r="T36" s="9"/>
      <c r="U36" s="12"/>
      <c r="V36" s="12"/>
      <c r="W36" s="12"/>
      <c r="X36" s="15"/>
      <c r="Y36" s="15"/>
      <c r="Z36" s="15"/>
      <c r="AA36" s="15"/>
      <c r="AB36" s="15"/>
      <c r="AC36" s="15"/>
      <c r="AD36" s="15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</row>
    <row r="37" spans="1:60">
      <c r="A37" s="9"/>
      <c r="B37" s="9"/>
      <c r="E37" s="21">
        <f t="shared" si="0"/>
        <v>37</v>
      </c>
      <c r="F37" s="9" t="s">
        <v>102</v>
      </c>
      <c r="J37" s="21"/>
      <c r="M37" s="21">
        <f>M21*10+9</f>
        <v>158019</v>
      </c>
      <c r="R37" s="12"/>
      <c r="S37" s="9"/>
      <c r="U37" s="12"/>
      <c r="X37" s="15"/>
      <c r="AE37" s="16"/>
      <c r="BH37" s="9"/>
    </row>
    <row r="38" spans="1:60">
      <c r="A38" s="9"/>
      <c r="B38" s="9"/>
      <c r="E38" s="21">
        <f t="shared" si="0"/>
        <v>38</v>
      </c>
      <c r="F38" s="9" t="s">
        <v>143</v>
      </c>
      <c r="M38" s="21">
        <f>M21</f>
        <v>15801</v>
      </c>
      <c r="R38" s="12"/>
      <c r="S38" s="9"/>
      <c r="U38" s="12"/>
      <c r="X38" s="15"/>
      <c r="AE38" s="16"/>
      <c r="BH38" s="9"/>
    </row>
    <row r="39" spans="1:60">
      <c r="A39" s="9"/>
      <c r="B39" s="9"/>
      <c r="E39" s="21">
        <f t="shared" si="0"/>
        <v>39</v>
      </c>
      <c r="F39" s="9" t="s">
        <v>127</v>
      </c>
      <c r="M39" s="21">
        <v>0</v>
      </c>
      <c r="R39" s="12"/>
      <c r="S39" s="9"/>
      <c r="U39" s="12"/>
      <c r="X39" s="15"/>
      <c r="AE39" s="16"/>
      <c r="BH39" s="9"/>
    </row>
    <row r="40" spans="1:60">
      <c r="A40" s="9"/>
      <c r="B40" s="9"/>
      <c r="E40" s="21">
        <f t="shared" si="0"/>
        <v>40</v>
      </c>
      <c r="F40" s="9" t="s">
        <v>143</v>
      </c>
      <c r="M40" s="21">
        <f>M37</f>
        <v>158019</v>
      </c>
      <c r="R40" s="12"/>
      <c r="S40" s="9"/>
      <c r="U40" s="12"/>
      <c r="X40" s="15"/>
      <c r="AE40" s="16"/>
      <c r="BH40" s="9"/>
    </row>
    <row r="41" spans="1:60">
      <c r="A41" s="9"/>
      <c r="B41" s="9"/>
      <c r="E41" s="21">
        <f t="shared" si="0"/>
        <v>41</v>
      </c>
      <c r="F41" s="9" t="s">
        <v>128</v>
      </c>
      <c r="M41" s="21">
        <v>0</v>
      </c>
      <c r="R41" s="12"/>
      <c r="S41" s="9"/>
      <c r="U41" s="12"/>
      <c r="X41" s="15"/>
      <c r="AE41" s="16"/>
      <c r="BH41" s="9"/>
    </row>
    <row r="42" spans="1:60">
      <c r="A42" s="9"/>
      <c r="B42" s="9"/>
      <c r="E42" s="21">
        <f t="shared" si="0"/>
        <v>42</v>
      </c>
      <c r="F42" s="9" t="s">
        <v>35</v>
      </c>
      <c r="M42" s="21">
        <v>10</v>
      </c>
      <c r="R42" s="12"/>
      <c r="S42" s="9"/>
      <c r="U42" s="12"/>
      <c r="X42" s="15"/>
      <c r="AE42" s="16"/>
      <c r="BH42" s="9"/>
    </row>
    <row r="43" spans="1:60">
      <c r="A43" s="9"/>
      <c r="B43" s="9"/>
      <c r="E43" s="21">
        <f t="shared" si="0"/>
        <v>43</v>
      </c>
      <c r="F43" s="9" t="s">
        <v>30</v>
      </c>
      <c r="M43" s="21">
        <v>0</v>
      </c>
      <c r="R43" s="12"/>
      <c r="S43" s="9"/>
      <c r="U43" s="12"/>
      <c r="X43" s="15"/>
      <c r="AE43" s="16"/>
      <c r="BH43" s="9"/>
    </row>
    <row r="44" spans="1:60">
      <c r="A44" s="9"/>
      <c r="B44" s="9"/>
      <c r="E44" s="21">
        <f t="shared" si="0"/>
        <v>44</v>
      </c>
      <c r="F44" s="9" t="s">
        <v>31</v>
      </c>
      <c r="L44" s="9" t="s">
        <v>135</v>
      </c>
      <c r="M44" s="21">
        <v>0</v>
      </c>
      <c r="R44" s="12"/>
      <c r="S44" s="9"/>
      <c r="U44" s="12"/>
      <c r="X44" s="15"/>
      <c r="AE44" s="16"/>
      <c r="BH44" s="9"/>
    </row>
    <row r="45" spans="1:60">
      <c r="A45" s="9"/>
      <c r="B45" s="9"/>
      <c r="E45" s="21">
        <f t="shared" si="0"/>
        <v>45</v>
      </c>
      <c r="F45" s="9" t="s">
        <v>170</v>
      </c>
      <c r="M45" s="21">
        <f>J21</f>
        <v>15800</v>
      </c>
      <c r="R45" s="12"/>
      <c r="S45" s="9"/>
      <c r="U45" s="12"/>
      <c r="X45" s="15"/>
      <c r="AE45" s="16"/>
      <c r="BH45" s="9"/>
    </row>
    <row r="46" spans="1:60">
      <c r="A46" s="21" t="s">
        <v>230</v>
      </c>
      <c r="B46" s="21">
        <f t="shared" ref="B46:B77" si="1">QUOTIENT( D46-1,G47)+1</f>
        <v>1</v>
      </c>
      <c r="C46" s="21">
        <f t="shared" ref="C46" si="2">D46-(B46-1)*G47</f>
        <v>2</v>
      </c>
      <c r="D46" s="21">
        <f>COUNT($D$14:$D45)+1</f>
        <v>2</v>
      </c>
    </row>
    <row r="47" spans="1:60">
      <c r="E47" s="21">
        <f t="shared" ref="E47:E110" si="3">ROW(E47)</f>
        <v>47</v>
      </c>
      <c r="F47" s="9" t="s">
        <v>93</v>
      </c>
      <c r="G47" s="21">
        <v>6</v>
      </c>
      <c r="H47" s="21">
        <v>1</v>
      </c>
      <c r="J47" s="9">
        <v>15800</v>
      </c>
      <c r="M47" s="21">
        <f t="shared" ref="M47:M78" si="4">J47+D46</f>
        <v>15802</v>
      </c>
    </row>
    <row r="48" spans="1:60">
      <c r="E48" s="21">
        <f t="shared" si="3"/>
        <v>48</v>
      </c>
      <c r="F48" s="9" t="s">
        <v>143</v>
      </c>
      <c r="M48" s="21">
        <v>15710</v>
      </c>
    </row>
    <row r="49" spans="5:13">
      <c r="E49" s="21">
        <f t="shared" si="3"/>
        <v>49</v>
      </c>
      <c r="F49" s="9" t="s">
        <v>128</v>
      </c>
      <c r="M49" s="21">
        <v>0</v>
      </c>
    </row>
    <row r="50" spans="5:13">
      <c r="E50" s="21">
        <f t="shared" si="3"/>
        <v>50</v>
      </c>
      <c r="F50" s="9" t="s">
        <v>29</v>
      </c>
      <c r="M50" s="21" t="s">
        <v>252</v>
      </c>
    </row>
    <row r="51" spans="5:13">
      <c r="E51" s="21">
        <f t="shared" si="3"/>
        <v>51</v>
      </c>
      <c r="F51" s="9" t="s">
        <v>119</v>
      </c>
      <c r="M51" s="21" t="s">
        <v>253</v>
      </c>
    </row>
    <row r="52" spans="5:13">
      <c r="E52" s="21">
        <f t="shared" si="3"/>
        <v>52</v>
      </c>
      <c r="F52" s="9" t="s">
        <v>99</v>
      </c>
      <c r="K52" s="9" t="s">
        <v>138</v>
      </c>
      <c r="M52" s="21">
        <v>5</v>
      </c>
    </row>
    <row r="53" spans="5:13">
      <c r="E53" s="21">
        <f t="shared" si="3"/>
        <v>53</v>
      </c>
      <c r="F53" s="9" t="s">
        <v>178</v>
      </c>
      <c r="K53" s="9" t="s">
        <v>221</v>
      </c>
      <c r="M53" s="21">
        <v>4.2</v>
      </c>
    </row>
    <row r="54" spans="5:13">
      <c r="E54" s="21">
        <f t="shared" si="3"/>
        <v>54</v>
      </c>
      <c r="F54" s="9" t="s">
        <v>134</v>
      </c>
      <c r="K54" s="9" t="s">
        <v>222</v>
      </c>
    </row>
    <row r="55" spans="5:13">
      <c r="E55" s="21">
        <f t="shared" si="3"/>
        <v>55</v>
      </c>
      <c r="F55" s="9" t="s">
        <v>185</v>
      </c>
      <c r="G55" s="21">
        <v>360</v>
      </c>
      <c r="L55" s="9" t="s">
        <v>135</v>
      </c>
      <c r="M55" s="21">
        <f t="shared" ref="M55" si="5">G55/G47*C46</f>
        <v>120</v>
      </c>
    </row>
    <row r="56" spans="5:13">
      <c r="E56" s="21">
        <f t="shared" si="3"/>
        <v>56</v>
      </c>
      <c r="F56" s="9" t="s">
        <v>30</v>
      </c>
      <c r="M56" s="21">
        <v>3</v>
      </c>
    </row>
    <row r="57" spans="5:13">
      <c r="E57" s="21">
        <f t="shared" si="3"/>
        <v>57</v>
      </c>
      <c r="F57" s="9" t="s">
        <v>31</v>
      </c>
      <c r="G57" s="21">
        <v>360</v>
      </c>
      <c r="L57" s="9" t="s">
        <v>135</v>
      </c>
      <c r="M57" s="21">
        <f t="shared" ref="M57" si="6">G57/G47*(C46+1)</f>
        <v>180</v>
      </c>
    </row>
    <row r="58" spans="5:13">
      <c r="E58" s="21">
        <f t="shared" si="3"/>
        <v>58</v>
      </c>
      <c r="F58" s="9" t="s">
        <v>112</v>
      </c>
      <c r="L58" s="9" t="s">
        <v>135</v>
      </c>
      <c r="M58" s="21">
        <v>180</v>
      </c>
    </row>
    <row r="59" spans="5:13">
      <c r="E59" s="21">
        <f t="shared" si="3"/>
        <v>59</v>
      </c>
      <c r="F59" s="9" t="s">
        <v>126</v>
      </c>
      <c r="M59" s="21">
        <v>10000</v>
      </c>
    </row>
    <row r="60" spans="5:13">
      <c r="E60" s="21">
        <f t="shared" si="3"/>
        <v>60</v>
      </c>
      <c r="F60" s="9" t="s">
        <v>118</v>
      </c>
      <c r="M60" s="21" t="b">
        <v>1</v>
      </c>
    </row>
    <row r="61" spans="5:13">
      <c r="E61" s="21">
        <f t="shared" si="3"/>
        <v>61</v>
      </c>
      <c r="F61" s="9" t="s">
        <v>197</v>
      </c>
      <c r="M61" s="21">
        <v>0.25</v>
      </c>
    </row>
    <row r="62" spans="5:13">
      <c r="E62" s="21">
        <f t="shared" si="3"/>
        <v>62</v>
      </c>
      <c r="F62" s="9" t="s">
        <v>199</v>
      </c>
      <c r="M62" s="21">
        <v>40</v>
      </c>
    </row>
    <row r="63" spans="5:13">
      <c r="E63" s="21">
        <f t="shared" si="3"/>
        <v>63</v>
      </c>
      <c r="F63" s="9" t="s">
        <v>102</v>
      </c>
      <c r="M63" s="21">
        <f t="shared" ref="M63" si="7">M47*10+9</f>
        <v>158029</v>
      </c>
    </row>
    <row r="64" spans="5:13">
      <c r="E64" s="21">
        <f t="shared" si="3"/>
        <v>64</v>
      </c>
      <c r="F64" s="9" t="s">
        <v>143</v>
      </c>
      <c r="M64" s="21">
        <f t="shared" ref="M64" si="8">M47</f>
        <v>15802</v>
      </c>
    </row>
    <row r="65" spans="1:13">
      <c r="E65" s="21">
        <f t="shared" si="3"/>
        <v>65</v>
      </c>
      <c r="F65" s="9" t="s">
        <v>127</v>
      </c>
      <c r="M65" s="21">
        <v>0</v>
      </c>
    </row>
    <row r="66" spans="1:13">
      <c r="E66" s="21">
        <f t="shared" si="3"/>
        <v>66</v>
      </c>
      <c r="F66" s="9" t="s">
        <v>143</v>
      </c>
      <c r="M66" s="21">
        <f t="shared" ref="M66" si="9">M63</f>
        <v>158029</v>
      </c>
    </row>
    <row r="67" spans="1:13">
      <c r="E67" s="21">
        <f t="shared" si="3"/>
        <v>67</v>
      </c>
      <c r="F67" s="9" t="s">
        <v>128</v>
      </c>
      <c r="M67" s="21">
        <v>0</v>
      </c>
    </row>
    <row r="68" spans="1:13">
      <c r="E68" s="21">
        <f t="shared" si="3"/>
        <v>68</v>
      </c>
      <c r="F68" s="9" t="s">
        <v>35</v>
      </c>
      <c r="M68" s="21">
        <v>10</v>
      </c>
    </row>
    <row r="69" spans="1:13">
      <c r="E69" s="21">
        <f t="shared" si="3"/>
        <v>69</v>
      </c>
      <c r="F69" s="9" t="s">
        <v>30</v>
      </c>
      <c r="M69" s="21">
        <v>0</v>
      </c>
    </row>
    <row r="70" spans="1:13">
      <c r="E70" s="21">
        <f t="shared" si="3"/>
        <v>70</v>
      </c>
      <c r="F70" s="9" t="s">
        <v>31</v>
      </c>
      <c r="L70" s="9" t="s">
        <v>135</v>
      </c>
      <c r="M70" s="21">
        <v>0</v>
      </c>
    </row>
    <row r="71" spans="1:13">
      <c r="E71" s="21">
        <f t="shared" si="3"/>
        <v>71</v>
      </c>
      <c r="F71" s="9" t="s">
        <v>170</v>
      </c>
      <c r="M71" s="21">
        <f t="shared" ref="M71" si="10">J47</f>
        <v>15800</v>
      </c>
    </row>
    <row r="72" spans="1:13">
      <c r="A72" s="21" t="s">
        <v>230</v>
      </c>
      <c r="B72" s="21">
        <f t="shared" ref="B72:B103" si="11">QUOTIENT( D72-1,G73)+1</f>
        <v>1</v>
      </c>
      <c r="C72" s="21">
        <f t="shared" ref="C72" si="12">D72-(B72-1)*G73</f>
        <v>3</v>
      </c>
      <c r="D72" s="21">
        <f>COUNT($D$14:$D71)+1</f>
        <v>3</v>
      </c>
    </row>
    <row r="73" spans="1:13">
      <c r="E73" s="21">
        <f t="shared" ref="E73:E104" si="13">ROW(E73)</f>
        <v>73</v>
      </c>
      <c r="F73" s="9" t="s">
        <v>93</v>
      </c>
      <c r="G73" s="21">
        <v>6</v>
      </c>
      <c r="H73" s="21">
        <v>1</v>
      </c>
      <c r="J73" s="9">
        <v>15800</v>
      </c>
      <c r="M73" s="21">
        <f t="shared" ref="M73:M104" si="14">J73+D72</f>
        <v>15803</v>
      </c>
    </row>
    <row r="74" spans="1:13">
      <c r="E74" s="21">
        <f t="shared" si="3"/>
        <v>74</v>
      </c>
      <c r="F74" s="9" t="s">
        <v>143</v>
      </c>
      <c r="M74" s="21">
        <v>15710</v>
      </c>
    </row>
    <row r="75" spans="1:13">
      <c r="E75" s="21">
        <f t="shared" si="3"/>
        <v>75</v>
      </c>
      <c r="F75" s="9" t="s">
        <v>128</v>
      </c>
      <c r="M75" s="21">
        <v>0</v>
      </c>
    </row>
    <row r="76" spans="1:13">
      <c r="E76" s="21">
        <f t="shared" si="3"/>
        <v>76</v>
      </c>
      <c r="F76" s="9" t="s">
        <v>29</v>
      </c>
      <c r="M76" s="21" t="s">
        <v>252</v>
      </c>
    </row>
    <row r="77" spans="1:13">
      <c r="E77" s="21">
        <f t="shared" si="3"/>
        <v>77</v>
      </c>
      <c r="F77" s="9" t="s">
        <v>119</v>
      </c>
      <c r="M77" s="21" t="s">
        <v>253</v>
      </c>
    </row>
    <row r="78" spans="1:13">
      <c r="E78" s="21">
        <f t="shared" si="3"/>
        <v>78</v>
      </c>
      <c r="F78" s="9" t="s">
        <v>99</v>
      </c>
      <c r="K78" s="9" t="s">
        <v>138</v>
      </c>
      <c r="M78" s="21">
        <v>5</v>
      </c>
    </row>
    <row r="79" spans="1:13">
      <c r="E79" s="21">
        <f t="shared" si="3"/>
        <v>79</v>
      </c>
      <c r="F79" s="9" t="s">
        <v>178</v>
      </c>
      <c r="K79" s="9" t="s">
        <v>221</v>
      </c>
      <c r="M79" s="21">
        <v>4.2</v>
      </c>
    </row>
    <row r="80" spans="1:13">
      <c r="E80" s="21">
        <f t="shared" si="3"/>
        <v>80</v>
      </c>
      <c r="F80" s="9" t="s">
        <v>134</v>
      </c>
      <c r="K80" s="9" t="s">
        <v>222</v>
      </c>
    </row>
    <row r="81" spans="5:13">
      <c r="E81" s="21">
        <f t="shared" si="3"/>
        <v>81</v>
      </c>
      <c r="F81" s="9" t="s">
        <v>185</v>
      </c>
      <c r="G81" s="21">
        <v>360</v>
      </c>
      <c r="L81" s="9" t="s">
        <v>135</v>
      </c>
      <c r="M81" s="21">
        <f t="shared" ref="M81" si="15">G81/G73*C72</f>
        <v>180</v>
      </c>
    </row>
    <row r="82" spans="5:13">
      <c r="E82" s="21">
        <f t="shared" si="3"/>
        <v>82</v>
      </c>
      <c r="F82" s="9" t="s">
        <v>30</v>
      </c>
      <c r="M82" s="21">
        <v>3</v>
      </c>
    </row>
    <row r="83" spans="5:13">
      <c r="E83" s="21">
        <f t="shared" si="3"/>
        <v>83</v>
      </c>
      <c r="F83" s="9" t="s">
        <v>31</v>
      </c>
      <c r="G83" s="21">
        <v>360</v>
      </c>
      <c r="L83" s="9" t="s">
        <v>135</v>
      </c>
      <c r="M83" s="21">
        <f t="shared" ref="M83" si="16">G83/G73*(C72+1)</f>
        <v>240</v>
      </c>
    </row>
    <row r="84" spans="5:13">
      <c r="E84" s="21">
        <f t="shared" si="3"/>
        <v>84</v>
      </c>
      <c r="F84" s="9" t="s">
        <v>112</v>
      </c>
      <c r="L84" s="9" t="s">
        <v>135</v>
      </c>
      <c r="M84" s="21">
        <v>180</v>
      </c>
    </row>
    <row r="85" spans="5:13">
      <c r="E85" s="21">
        <f t="shared" si="3"/>
        <v>85</v>
      </c>
      <c r="F85" s="9" t="s">
        <v>126</v>
      </c>
      <c r="M85" s="21">
        <v>10000</v>
      </c>
    </row>
    <row r="86" spans="5:13">
      <c r="E86" s="21">
        <f t="shared" si="3"/>
        <v>86</v>
      </c>
      <c r="F86" s="9" t="s">
        <v>118</v>
      </c>
      <c r="M86" s="21" t="b">
        <v>1</v>
      </c>
    </row>
    <row r="87" spans="5:13">
      <c r="E87" s="21">
        <f t="shared" si="3"/>
        <v>87</v>
      </c>
      <c r="F87" s="9" t="s">
        <v>197</v>
      </c>
      <c r="M87" s="21">
        <v>0.25</v>
      </c>
    </row>
    <row r="88" spans="5:13">
      <c r="E88" s="21">
        <f t="shared" si="3"/>
        <v>88</v>
      </c>
      <c r="F88" s="9" t="s">
        <v>199</v>
      </c>
      <c r="M88" s="21">
        <v>40</v>
      </c>
    </row>
    <row r="89" spans="5:13">
      <c r="E89" s="21">
        <f t="shared" si="3"/>
        <v>89</v>
      </c>
      <c r="F89" s="9" t="s">
        <v>102</v>
      </c>
      <c r="M89" s="21">
        <f t="shared" ref="M89" si="17">M73*10+9</f>
        <v>158039</v>
      </c>
    </row>
    <row r="90" spans="5:13">
      <c r="E90" s="21">
        <f t="shared" si="3"/>
        <v>90</v>
      </c>
      <c r="F90" s="9" t="s">
        <v>143</v>
      </c>
      <c r="M90" s="21">
        <f t="shared" ref="M90" si="18">M73</f>
        <v>15803</v>
      </c>
    </row>
    <row r="91" spans="5:13">
      <c r="E91" s="21">
        <f t="shared" si="3"/>
        <v>91</v>
      </c>
      <c r="F91" s="9" t="s">
        <v>127</v>
      </c>
      <c r="M91" s="21">
        <v>0</v>
      </c>
    </row>
    <row r="92" spans="5:13">
      <c r="E92" s="21">
        <f t="shared" si="3"/>
        <v>92</v>
      </c>
      <c r="F92" s="9" t="s">
        <v>143</v>
      </c>
      <c r="M92" s="21">
        <f t="shared" ref="M92" si="19">M89</f>
        <v>158039</v>
      </c>
    </row>
    <row r="93" spans="5:13">
      <c r="E93" s="21">
        <f t="shared" si="3"/>
        <v>93</v>
      </c>
      <c r="F93" s="9" t="s">
        <v>128</v>
      </c>
      <c r="M93" s="21">
        <v>0</v>
      </c>
    </row>
    <row r="94" spans="5:13">
      <c r="E94" s="21">
        <f t="shared" si="3"/>
        <v>94</v>
      </c>
      <c r="F94" s="9" t="s">
        <v>35</v>
      </c>
      <c r="M94" s="21">
        <v>10</v>
      </c>
    </row>
    <row r="95" spans="5:13">
      <c r="E95" s="21">
        <f t="shared" si="3"/>
        <v>95</v>
      </c>
      <c r="F95" s="9" t="s">
        <v>30</v>
      </c>
      <c r="M95" s="21">
        <v>0</v>
      </c>
    </row>
    <row r="96" spans="5:13">
      <c r="E96" s="21">
        <f t="shared" si="3"/>
        <v>96</v>
      </c>
      <c r="F96" s="9" t="s">
        <v>31</v>
      </c>
      <c r="L96" s="9" t="s">
        <v>135</v>
      </c>
      <c r="M96" s="21">
        <v>0</v>
      </c>
    </row>
    <row r="97" spans="1:13">
      <c r="E97" s="21">
        <f t="shared" si="3"/>
        <v>97</v>
      </c>
      <c r="F97" s="9" t="s">
        <v>170</v>
      </c>
      <c r="M97" s="21">
        <f t="shared" ref="M97" si="20">J73</f>
        <v>15800</v>
      </c>
    </row>
    <row r="98" spans="1:13">
      <c r="A98" s="21" t="s">
        <v>230</v>
      </c>
      <c r="B98" s="21">
        <f t="shared" ref="B98:B129" si="21">QUOTIENT( D98-1,G99)+1</f>
        <v>1</v>
      </c>
      <c r="C98" s="21">
        <f t="shared" ref="C98" si="22">D98-(B98-1)*G99</f>
        <v>4</v>
      </c>
      <c r="D98" s="21">
        <f>COUNT($D$14:$D97)+1</f>
        <v>4</v>
      </c>
    </row>
    <row r="99" spans="1:13">
      <c r="E99" s="21">
        <f t="shared" ref="E99:E130" si="23">ROW(E99)</f>
        <v>99</v>
      </c>
      <c r="F99" s="9" t="s">
        <v>93</v>
      </c>
      <c r="G99" s="21">
        <v>6</v>
      </c>
      <c r="H99" s="21">
        <v>1</v>
      </c>
      <c r="J99" s="9">
        <v>15800</v>
      </c>
      <c r="M99" s="21">
        <f t="shared" ref="M99:M130" si="24">J99+D98</f>
        <v>15804</v>
      </c>
    </row>
    <row r="100" spans="1:13">
      <c r="E100" s="21">
        <f t="shared" si="3"/>
        <v>100</v>
      </c>
      <c r="F100" s="9" t="s">
        <v>143</v>
      </c>
      <c r="M100" s="21">
        <v>15710</v>
      </c>
    </row>
    <row r="101" spans="1:13">
      <c r="E101" s="21">
        <f t="shared" si="3"/>
        <v>101</v>
      </c>
      <c r="F101" s="9" t="s">
        <v>128</v>
      </c>
      <c r="M101" s="21">
        <v>0</v>
      </c>
    </row>
    <row r="102" spans="1:13">
      <c r="E102" s="21">
        <f t="shared" si="3"/>
        <v>102</v>
      </c>
      <c r="F102" s="9" t="s">
        <v>29</v>
      </c>
      <c r="M102" s="21" t="s">
        <v>252</v>
      </c>
    </row>
    <row r="103" spans="1:13">
      <c r="E103" s="21">
        <f t="shared" si="3"/>
        <v>103</v>
      </c>
      <c r="F103" s="9" t="s">
        <v>119</v>
      </c>
      <c r="M103" s="21" t="s">
        <v>253</v>
      </c>
    </row>
    <row r="104" spans="1:13">
      <c r="E104" s="21">
        <f t="shared" si="3"/>
        <v>104</v>
      </c>
      <c r="F104" s="9" t="s">
        <v>99</v>
      </c>
      <c r="K104" s="9" t="s">
        <v>138</v>
      </c>
      <c r="M104" s="21">
        <v>5</v>
      </c>
    </row>
    <row r="105" spans="1:13">
      <c r="E105" s="21">
        <f t="shared" si="3"/>
        <v>105</v>
      </c>
      <c r="F105" s="9" t="s">
        <v>178</v>
      </c>
      <c r="K105" s="9" t="s">
        <v>221</v>
      </c>
      <c r="M105" s="21">
        <v>4.2</v>
      </c>
    </row>
    <row r="106" spans="1:13">
      <c r="E106" s="21">
        <f t="shared" si="3"/>
        <v>106</v>
      </c>
      <c r="F106" s="9" t="s">
        <v>134</v>
      </c>
      <c r="K106" s="9" t="s">
        <v>222</v>
      </c>
    </row>
    <row r="107" spans="1:13">
      <c r="E107" s="21">
        <f t="shared" si="3"/>
        <v>107</v>
      </c>
      <c r="F107" s="9" t="s">
        <v>185</v>
      </c>
      <c r="G107" s="21">
        <v>360</v>
      </c>
      <c r="L107" s="9" t="s">
        <v>135</v>
      </c>
      <c r="M107" s="21">
        <f t="shared" ref="M107" si="25">G107/G99*C98</f>
        <v>240</v>
      </c>
    </row>
    <row r="108" spans="1:13">
      <c r="E108" s="21">
        <f t="shared" si="3"/>
        <v>108</v>
      </c>
      <c r="F108" s="9" t="s">
        <v>30</v>
      </c>
      <c r="M108" s="21">
        <v>3</v>
      </c>
    </row>
    <row r="109" spans="1:13">
      <c r="E109" s="21">
        <f t="shared" si="3"/>
        <v>109</v>
      </c>
      <c r="F109" s="9" t="s">
        <v>31</v>
      </c>
      <c r="G109" s="21">
        <v>360</v>
      </c>
      <c r="L109" s="9" t="s">
        <v>135</v>
      </c>
      <c r="M109" s="21">
        <f t="shared" ref="M109" si="26">G109/G99*(C98+1)</f>
        <v>300</v>
      </c>
    </row>
    <row r="110" spans="1:13">
      <c r="E110" s="21">
        <f t="shared" si="3"/>
        <v>110</v>
      </c>
      <c r="F110" s="9" t="s">
        <v>112</v>
      </c>
      <c r="L110" s="9" t="s">
        <v>135</v>
      </c>
      <c r="M110" s="21">
        <v>180</v>
      </c>
    </row>
    <row r="111" spans="1:13">
      <c r="E111" s="21">
        <f t="shared" ref="E111:E174" si="27">ROW(E111)</f>
        <v>111</v>
      </c>
      <c r="F111" s="9" t="s">
        <v>126</v>
      </c>
      <c r="M111" s="21">
        <v>10000</v>
      </c>
    </row>
    <row r="112" spans="1:13">
      <c r="E112" s="21">
        <f t="shared" si="27"/>
        <v>112</v>
      </c>
      <c r="F112" s="9" t="s">
        <v>118</v>
      </c>
      <c r="M112" s="21" t="b">
        <v>1</v>
      </c>
    </row>
    <row r="113" spans="1:13">
      <c r="E113" s="21">
        <f t="shared" si="27"/>
        <v>113</v>
      </c>
      <c r="F113" s="9" t="s">
        <v>197</v>
      </c>
      <c r="M113" s="21">
        <v>0.25</v>
      </c>
    </row>
    <row r="114" spans="1:13">
      <c r="E114" s="21">
        <f t="shared" si="27"/>
        <v>114</v>
      </c>
      <c r="F114" s="9" t="s">
        <v>199</v>
      </c>
      <c r="M114" s="21">
        <v>40</v>
      </c>
    </row>
    <row r="115" spans="1:13">
      <c r="E115" s="21">
        <f t="shared" si="27"/>
        <v>115</v>
      </c>
      <c r="F115" s="9" t="s">
        <v>102</v>
      </c>
      <c r="M115" s="21">
        <f t="shared" ref="M115" si="28">M99*10+9</f>
        <v>158049</v>
      </c>
    </row>
    <row r="116" spans="1:13">
      <c r="E116" s="21">
        <f t="shared" si="27"/>
        <v>116</v>
      </c>
      <c r="F116" s="9" t="s">
        <v>143</v>
      </c>
      <c r="M116" s="21">
        <f t="shared" ref="M116" si="29">M99</f>
        <v>15804</v>
      </c>
    </row>
    <row r="117" spans="1:13">
      <c r="E117" s="21">
        <f t="shared" si="27"/>
        <v>117</v>
      </c>
      <c r="F117" s="9" t="s">
        <v>127</v>
      </c>
      <c r="M117" s="21">
        <v>0</v>
      </c>
    </row>
    <row r="118" spans="1:13">
      <c r="E118" s="21">
        <f t="shared" si="27"/>
        <v>118</v>
      </c>
      <c r="F118" s="9" t="s">
        <v>143</v>
      </c>
      <c r="M118" s="21">
        <f t="shared" ref="M118" si="30">M115</f>
        <v>158049</v>
      </c>
    </row>
    <row r="119" spans="1:13">
      <c r="E119" s="21">
        <f t="shared" si="27"/>
        <v>119</v>
      </c>
      <c r="F119" s="9" t="s">
        <v>128</v>
      </c>
      <c r="M119" s="21">
        <v>0</v>
      </c>
    </row>
    <row r="120" spans="1:13">
      <c r="E120" s="21">
        <f t="shared" si="27"/>
        <v>120</v>
      </c>
      <c r="F120" s="9" t="s">
        <v>35</v>
      </c>
      <c r="M120" s="21">
        <v>10</v>
      </c>
    </row>
    <row r="121" spans="1:13">
      <c r="E121" s="21">
        <f t="shared" si="27"/>
        <v>121</v>
      </c>
      <c r="F121" s="9" t="s">
        <v>30</v>
      </c>
      <c r="M121" s="21">
        <v>0</v>
      </c>
    </row>
    <row r="122" spans="1:13">
      <c r="E122" s="21">
        <f t="shared" si="27"/>
        <v>122</v>
      </c>
      <c r="F122" s="9" t="s">
        <v>31</v>
      </c>
      <c r="L122" s="9" t="s">
        <v>135</v>
      </c>
      <c r="M122" s="21">
        <v>0</v>
      </c>
    </row>
    <row r="123" spans="1:13">
      <c r="E123" s="21">
        <f t="shared" si="27"/>
        <v>123</v>
      </c>
      <c r="F123" s="9" t="s">
        <v>170</v>
      </c>
      <c r="M123" s="21">
        <f t="shared" ref="M123" si="31">J99</f>
        <v>15800</v>
      </c>
    </row>
    <row r="124" spans="1:13">
      <c r="A124" s="21" t="s">
        <v>230</v>
      </c>
      <c r="B124" s="21">
        <f t="shared" ref="B124:B155" si="32">QUOTIENT( D124-1,G125)+1</f>
        <v>1</v>
      </c>
      <c r="C124" s="21">
        <f t="shared" ref="C124" si="33">D124-(B124-1)*G125</f>
        <v>5</v>
      </c>
      <c r="D124" s="21">
        <f>COUNT($D$14:$D123)+1</f>
        <v>5</v>
      </c>
    </row>
    <row r="125" spans="1:13">
      <c r="E125" s="21">
        <f t="shared" ref="E125:E156" si="34">ROW(E125)</f>
        <v>125</v>
      </c>
      <c r="F125" s="9" t="s">
        <v>93</v>
      </c>
      <c r="G125" s="21">
        <v>6</v>
      </c>
      <c r="H125" s="21">
        <v>1</v>
      </c>
      <c r="J125" s="9">
        <v>15800</v>
      </c>
      <c r="M125" s="21">
        <f t="shared" ref="M125:M156" si="35">J125+D124</f>
        <v>15805</v>
      </c>
    </row>
    <row r="126" spans="1:13">
      <c r="E126" s="21">
        <f t="shared" si="27"/>
        <v>126</v>
      </c>
      <c r="F126" s="9" t="s">
        <v>143</v>
      </c>
      <c r="M126" s="21">
        <v>15710</v>
      </c>
    </row>
    <row r="127" spans="1:13">
      <c r="E127" s="21">
        <f t="shared" si="27"/>
        <v>127</v>
      </c>
      <c r="F127" s="9" t="s">
        <v>128</v>
      </c>
      <c r="M127" s="21">
        <v>0</v>
      </c>
    </row>
    <row r="128" spans="1:13">
      <c r="E128" s="21">
        <f t="shared" si="27"/>
        <v>128</v>
      </c>
      <c r="F128" s="9" t="s">
        <v>29</v>
      </c>
      <c r="M128" s="21" t="s">
        <v>252</v>
      </c>
    </row>
    <row r="129" spans="5:13">
      <c r="E129" s="21">
        <f t="shared" si="27"/>
        <v>129</v>
      </c>
      <c r="F129" s="9" t="s">
        <v>119</v>
      </c>
      <c r="M129" s="21" t="s">
        <v>253</v>
      </c>
    </row>
    <row r="130" spans="5:13">
      <c r="E130" s="21">
        <f t="shared" si="27"/>
        <v>130</v>
      </c>
      <c r="F130" s="9" t="s">
        <v>99</v>
      </c>
      <c r="K130" s="9" t="s">
        <v>138</v>
      </c>
      <c r="M130" s="21">
        <v>5</v>
      </c>
    </row>
    <row r="131" spans="5:13">
      <c r="E131" s="21">
        <f t="shared" si="27"/>
        <v>131</v>
      </c>
      <c r="F131" s="9" t="s">
        <v>178</v>
      </c>
      <c r="K131" s="9" t="s">
        <v>221</v>
      </c>
      <c r="M131" s="21">
        <v>4.2</v>
      </c>
    </row>
    <row r="132" spans="5:13">
      <c r="E132" s="21">
        <f t="shared" si="27"/>
        <v>132</v>
      </c>
      <c r="F132" s="9" t="s">
        <v>134</v>
      </c>
      <c r="K132" s="9" t="s">
        <v>222</v>
      </c>
    </row>
    <row r="133" spans="5:13">
      <c r="E133" s="21">
        <f t="shared" si="27"/>
        <v>133</v>
      </c>
      <c r="F133" s="9" t="s">
        <v>185</v>
      </c>
      <c r="G133" s="21">
        <v>360</v>
      </c>
      <c r="L133" s="9" t="s">
        <v>135</v>
      </c>
      <c r="M133" s="21">
        <f t="shared" ref="M133" si="36">G133/G125*C124</f>
        <v>300</v>
      </c>
    </row>
    <row r="134" spans="5:13">
      <c r="E134" s="21">
        <f t="shared" si="27"/>
        <v>134</v>
      </c>
      <c r="F134" s="9" t="s">
        <v>30</v>
      </c>
      <c r="M134" s="21">
        <v>3</v>
      </c>
    </row>
    <row r="135" spans="5:13">
      <c r="E135" s="21">
        <f t="shared" si="27"/>
        <v>135</v>
      </c>
      <c r="F135" s="9" t="s">
        <v>31</v>
      </c>
      <c r="G135" s="21">
        <v>360</v>
      </c>
      <c r="L135" s="9" t="s">
        <v>135</v>
      </c>
      <c r="M135" s="21">
        <f t="shared" ref="M135" si="37">G135/G125*(C124+1)</f>
        <v>360</v>
      </c>
    </row>
    <row r="136" spans="5:13">
      <c r="E136" s="21">
        <f t="shared" si="27"/>
        <v>136</v>
      </c>
      <c r="F136" s="9" t="s">
        <v>112</v>
      </c>
      <c r="L136" s="9" t="s">
        <v>135</v>
      </c>
      <c r="M136" s="21">
        <v>180</v>
      </c>
    </row>
    <row r="137" spans="5:13">
      <c r="E137" s="21">
        <f t="shared" si="27"/>
        <v>137</v>
      </c>
      <c r="F137" s="9" t="s">
        <v>126</v>
      </c>
      <c r="M137" s="21">
        <v>10000</v>
      </c>
    </row>
    <row r="138" spans="5:13">
      <c r="E138" s="21">
        <f t="shared" si="27"/>
        <v>138</v>
      </c>
      <c r="F138" s="9" t="s">
        <v>118</v>
      </c>
      <c r="M138" s="21" t="b">
        <v>1</v>
      </c>
    </row>
    <row r="139" spans="5:13">
      <c r="E139" s="21">
        <f t="shared" si="27"/>
        <v>139</v>
      </c>
      <c r="F139" s="9" t="s">
        <v>197</v>
      </c>
      <c r="M139" s="21">
        <v>0.25</v>
      </c>
    </row>
    <row r="140" spans="5:13">
      <c r="E140" s="21">
        <f t="shared" si="27"/>
        <v>140</v>
      </c>
      <c r="F140" s="9" t="s">
        <v>199</v>
      </c>
      <c r="M140" s="21">
        <v>40</v>
      </c>
    </row>
    <row r="141" spans="5:13">
      <c r="E141" s="21">
        <f t="shared" si="27"/>
        <v>141</v>
      </c>
      <c r="F141" s="9" t="s">
        <v>102</v>
      </c>
      <c r="M141" s="21">
        <f t="shared" ref="M141" si="38">M125*10+9</f>
        <v>158059</v>
      </c>
    </row>
    <row r="142" spans="5:13">
      <c r="E142" s="21">
        <f t="shared" si="27"/>
        <v>142</v>
      </c>
      <c r="F142" s="9" t="s">
        <v>143</v>
      </c>
      <c r="M142" s="21">
        <f t="shared" ref="M142" si="39">M125</f>
        <v>15805</v>
      </c>
    </row>
    <row r="143" spans="5:13">
      <c r="E143" s="21">
        <f t="shared" si="27"/>
        <v>143</v>
      </c>
      <c r="F143" s="9" t="s">
        <v>127</v>
      </c>
      <c r="M143" s="21">
        <v>0</v>
      </c>
    </row>
    <row r="144" spans="5:13">
      <c r="E144" s="21">
        <f t="shared" si="27"/>
        <v>144</v>
      </c>
      <c r="F144" s="9" t="s">
        <v>143</v>
      </c>
      <c r="M144" s="21">
        <f t="shared" ref="M144" si="40">M141</f>
        <v>158059</v>
      </c>
    </row>
    <row r="145" spans="1:13">
      <c r="E145" s="21">
        <f t="shared" si="27"/>
        <v>145</v>
      </c>
      <c r="F145" s="9" t="s">
        <v>128</v>
      </c>
      <c r="M145" s="21">
        <v>0</v>
      </c>
    </row>
    <row r="146" spans="1:13">
      <c r="E146" s="21">
        <f t="shared" si="27"/>
        <v>146</v>
      </c>
      <c r="F146" s="9" t="s">
        <v>35</v>
      </c>
      <c r="M146" s="21">
        <v>10</v>
      </c>
    </row>
    <row r="147" spans="1:13">
      <c r="E147" s="21">
        <f t="shared" si="27"/>
        <v>147</v>
      </c>
      <c r="F147" s="9" t="s">
        <v>30</v>
      </c>
      <c r="M147" s="21">
        <v>0</v>
      </c>
    </row>
    <row r="148" spans="1:13">
      <c r="E148" s="21">
        <f t="shared" si="27"/>
        <v>148</v>
      </c>
      <c r="F148" s="9" t="s">
        <v>31</v>
      </c>
      <c r="L148" s="9" t="s">
        <v>135</v>
      </c>
      <c r="M148" s="21">
        <v>0</v>
      </c>
    </row>
    <row r="149" spans="1:13">
      <c r="E149" s="21">
        <f t="shared" si="27"/>
        <v>149</v>
      </c>
      <c r="F149" s="9" t="s">
        <v>170</v>
      </c>
      <c r="M149" s="21">
        <f t="shared" ref="M149" si="41">J125</f>
        <v>15800</v>
      </c>
    </row>
    <row r="150" spans="1:13">
      <c r="A150" s="21" t="s">
        <v>230</v>
      </c>
      <c r="B150" s="21">
        <f t="shared" ref="B150:B175" si="42">QUOTIENT( D150-1,G151)+1</f>
        <v>1</v>
      </c>
      <c r="C150" s="21">
        <f t="shared" ref="C150" si="43">D150-(B150-1)*G151</f>
        <v>6</v>
      </c>
      <c r="D150" s="21">
        <f>COUNT($D$14:$D149)+1</f>
        <v>6</v>
      </c>
    </row>
    <row r="151" spans="1:13">
      <c r="E151" s="21">
        <f t="shared" ref="E151:E175" si="44">ROW(E151)</f>
        <v>151</v>
      </c>
      <c r="F151" s="9" t="s">
        <v>93</v>
      </c>
      <c r="G151" s="21">
        <v>6</v>
      </c>
      <c r="H151" s="21">
        <v>1</v>
      </c>
      <c r="J151" s="9">
        <v>15800</v>
      </c>
      <c r="M151" s="21">
        <f t="shared" ref="M151:M175" si="45">J151+D150</f>
        <v>15806</v>
      </c>
    </row>
    <row r="152" spans="1:13">
      <c r="E152" s="21">
        <f t="shared" si="27"/>
        <v>152</v>
      </c>
      <c r="F152" s="9" t="s">
        <v>143</v>
      </c>
      <c r="M152" s="21">
        <v>15710</v>
      </c>
    </row>
    <row r="153" spans="1:13">
      <c r="E153" s="21">
        <f t="shared" si="27"/>
        <v>153</v>
      </c>
      <c r="F153" s="9" t="s">
        <v>128</v>
      </c>
      <c r="M153" s="21">
        <v>0</v>
      </c>
    </row>
    <row r="154" spans="1:13">
      <c r="E154" s="21">
        <f t="shared" si="27"/>
        <v>154</v>
      </c>
      <c r="F154" s="9" t="s">
        <v>29</v>
      </c>
      <c r="M154" s="21" t="s">
        <v>252</v>
      </c>
    </row>
    <row r="155" spans="1:13">
      <c r="E155" s="21">
        <f t="shared" si="27"/>
        <v>155</v>
      </c>
      <c r="F155" s="9" t="s">
        <v>119</v>
      </c>
      <c r="M155" s="21" t="s">
        <v>253</v>
      </c>
    </row>
    <row r="156" spans="1:13">
      <c r="E156" s="21">
        <f t="shared" si="27"/>
        <v>156</v>
      </c>
      <c r="F156" s="9" t="s">
        <v>99</v>
      </c>
      <c r="K156" s="9" t="s">
        <v>138</v>
      </c>
      <c r="M156" s="21">
        <v>5</v>
      </c>
    </row>
    <row r="157" spans="1:13">
      <c r="E157" s="21">
        <f t="shared" si="27"/>
        <v>157</v>
      </c>
      <c r="F157" s="9" t="s">
        <v>178</v>
      </c>
      <c r="K157" s="9" t="s">
        <v>221</v>
      </c>
      <c r="M157" s="21">
        <v>4.2</v>
      </c>
    </row>
    <row r="158" spans="1:13">
      <c r="E158" s="21">
        <f t="shared" si="27"/>
        <v>158</v>
      </c>
      <c r="F158" s="9" t="s">
        <v>134</v>
      </c>
      <c r="K158" s="9" t="s">
        <v>222</v>
      </c>
    </row>
    <row r="159" spans="1:13">
      <c r="E159" s="21">
        <f t="shared" si="27"/>
        <v>159</v>
      </c>
      <c r="F159" s="9" t="s">
        <v>185</v>
      </c>
      <c r="G159" s="21">
        <v>360</v>
      </c>
      <c r="L159" s="9" t="s">
        <v>135</v>
      </c>
      <c r="M159" s="21">
        <f t="shared" ref="M159" si="46">G159/G151*C150</f>
        <v>360</v>
      </c>
    </row>
    <row r="160" spans="1:13">
      <c r="E160" s="21">
        <f t="shared" si="27"/>
        <v>160</v>
      </c>
      <c r="F160" s="9" t="s">
        <v>30</v>
      </c>
      <c r="M160" s="21">
        <v>3</v>
      </c>
    </row>
    <row r="161" spans="5:13">
      <c r="E161" s="21">
        <f t="shared" si="27"/>
        <v>161</v>
      </c>
      <c r="F161" s="9" t="s">
        <v>31</v>
      </c>
      <c r="G161" s="21">
        <v>360</v>
      </c>
      <c r="L161" s="9" t="s">
        <v>135</v>
      </c>
      <c r="M161" s="21">
        <f t="shared" ref="M161" si="47">G161/G151*(C150+1)</f>
        <v>420</v>
      </c>
    </row>
    <row r="162" spans="5:13">
      <c r="E162" s="21">
        <f t="shared" si="27"/>
        <v>162</v>
      </c>
      <c r="F162" s="9" t="s">
        <v>112</v>
      </c>
      <c r="L162" s="9" t="s">
        <v>135</v>
      </c>
      <c r="M162" s="21">
        <v>180</v>
      </c>
    </row>
    <row r="163" spans="5:13">
      <c r="E163" s="21">
        <f t="shared" si="27"/>
        <v>163</v>
      </c>
      <c r="F163" s="9" t="s">
        <v>126</v>
      </c>
      <c r="M163" s="21">
        <v>10000</v>
      </c>
    </row>
    <row r="164" spans="5:13">
      <c r="E164" s="21">
        <f t="shared" si="27"/>
        <v>164</v>
      </c>
      <c r="F164" s="9" t="s">
        <v>118</v>
      </c>
      <c r="M164" s="21" t="b">
        <v>1</v>
      </c>
    </row>
    <row r="165" spans="5:13">
      <c r="E165" s="21">
        <f t="shared" si="27"/>
        <v>165</v>
      </c>
      <c r="F165" s="9" t="s">
        <v>197</v>
      </c>
      <c r="M165" s="21">
        <v>0.25</v>
      </c>
    </row>
    <row r="166" spans="5:13">
      <c r="E166" s="21">
        <f t="shared" si="27"/>
        <v>166</v>
      </c>
      <c r="F166" s="9" t="s">
        <v>199</v>
      </c>
      <c r="M166" s="21">
        <v>40</v>
      </c>
    </row>
    <row r="167" spans="5:13">
      <c r="E167" s="21">
        <f t="shared" si="27"/>
        <v>167</v>
      </c>
      <c r="F167" s="9" t="s">
        <v>102</v>
      </c>
      <c r="M167" s="21">
        <f t="shared" ref="M167" si="48">M151*10+9</f>
        <v>158069</v>
      </c>
    </row>
    <row r="168" spans="5:13">
      <c r="E168" s="21">
        <f t="shared" si="27"/>
        <v>168</v>
      </c>
      <c r="F168" s="9" t="s">
        <v>143</v>
      </c>
      <c r="M168" s="21">
        <f t="shared" ref="M168" si="49">M151</f>
        <v>15806</v>
      </c>
    </row>
    <row r="169" spans="5:13">
      <c r="E169" s="21">
        <f t="shared" si="27"/>
        <v>169</v>
      </c>
      <c r="F169" s="9" t="s">
        <v>127</v>
      </c>
      <c r="M169" s="21">
        <v>0</v>
      </c>
    </row>
    <row r="170" spans="5:13">
      <c r="E170" s="21">
        <f t="shared" si="27"/>
        <v>170</v>
      </c>
      <c r="F170" s="9" t="s">
        <v>143</v>
      </c>
      <c r="M170" s="21">
        <f t="shared" ref="M170" si="50">M167</f>
        <v>158069</v>
      </c>
    </row>
    <row r="171" spans="5:13">
      <c r="E171" s="21">
        <f t="shared" si="27"/>
        <v>171</v>
      </c>
      <c r="F171" s="9" t="s">
        <v>128</v>
      </c>
      <c r="M171" s="21">
        <v>0</v>
      </c>
    </row>
    <row r="172" spans="5:13">
      <c r="E172" s="21">
        <f t="shared" si="27"/>
        <v>172</v>
      </c>
      <c r="F172" s="9" t="s">
        <v>35</v>
      </c>
      <c r="M172" s="21">
        <v>10</v>
      </c>
    </row>
    <row r="173" spans="5:13">
      <c r="E173" s="21">
        <f t="shared" si="27"/>
        <v>173</v>
      </c>
      <c r="F173" s="9" t="s">
        <v>30</v>
      </c>
      <c r="M173" s="21">
        <v>0</v>
      </c>
    </row>
    <row r="174" spans="5:13">
      <c r="E174" s="21">
        <f t="shared" si="27"/>
        <v>174</v>
      </c>
      <c r="F174" s="9" t="s">
        <v>31</v>
      </c>
      <c r="L174" s="9" t="s">
        <v>135</v>
      </c>
      <c r="M174" s="21">
        <v>0</v>
      </c>
    </row>
    <row r="175" spans="5:13">
      <c r="E175" s="21">
        <f t="shared" ref="E175" si="51">ROW(E175)</f>
        <v>175</v>
      </c>
      <c r="F175" s="9" t="s">
        <v>170</v>
      </c>
      <c r="M175" s="21">
        <f t="shared" ref="M175" si="52">J151</f>
        <v>15800</v>
      </c>
    </row>
    <row r="184" spans="1:13">
      <c r="B184" s="16" t="s">
        <v>258</v>
      </c>
      <c r="C184" s="9"/>
      <c r="D184" s="9"/>
    </row>
    <row r="185" spans="1:13">
      <c r="A185" s="9"/>
    </row>
    <row r="186" spans="1:13">
      <c r="E186" s="21">
        <f t="shared" ref="E186:E194" si="53">ROW(E186)</f>
        <v>186</v>
      </c>
      <c r="F186" s="9" t="s">
        <v>93</v>
      </c>
      <c r="G186" s="21">
        <v>1</v>
      </c>
      <c r="H186" s="21">
        <v>1</v>
      </c>
      <c r="J186" s="21"/>
      <c r="M186" s="21">
        <v>15901</v>
      </c>
    </row>
    <row r="187" spans="1:13">
      <c r="E187" s="21">
        <f t="shared" si="53"/>
        <v>187</v>
      </c>
      <c r="F187" s="9" t="s">
        <v>143</v>
      </c>
      <c r="M187" s="21">
        <v>157109</v>
      </c>
    </row>
    <row r="188" spans="1:13">
      <c r="E188" s="21">
        <f t="shared" si="53"/>
        <v>188</v>
      </c>
      <c r="F188" s="9" t="s">
        <v>127</v>
      </c>
      <c r="M188" s="21">
        <v>0</v>
      </c>
    </row>
    <row r="189" spans="1:13">
      <c r="E189" s="21">
        <f t="shared" si="53"/>
        <v>189</v>
      </c>
      <c r="F189" s="9" t="s">
        <v>96</v>
      </c>
      <c r="M189" s="21" t="s">
        <v>259</v>
      </c>
    </row>
    <row r="190" spans="1:13">
      <c r="E190" s="21">
        <f t="shared" si="53"/>
        <v>190</v>
      </c>
      <c r="F190" s="9" t="s">
        <v>119</v>
      </c>
      <c r="M190" s="21" t="s">
        <v>260</v>
      </c>
    </row>
    <row r="191" spans="1:13">
      <c r="E191" s="21">
        <f t="shared" si="53"/>
        <v>191</v>
      </c>
      <c r="F191" s="9" t="s">
        <v>114</v>
      </c>
      <c r="L191" s="9" t="s">
        <v>135</v>
      </c>
      <c r="M191" s="21">
        <v>90</v>
      </c>
    </row>
    <row r="192" spans="1:13">
      <c r="E192" s="21">
        <f t="shared" si="53"/>
        <v>192</v>
      </c>
      <c r="F192" s="9" t="s">
        <v>145</v>
      </c>
      <c r="G192" s="9"/>
      <c r="H192" s="9"/>
      <c r="I192" s="9"/>
      <c r="K192" s="9" t="s">
        <v>138</v>
      </c>
      <c r="M192" s="21">
        <v>2</v>
      </c>
    </row>
    <row r="193" spans="5:13">
      <c r="E193" s="21">
        <f t="shared" si="53"/>
        <v>193</v>
      </c>
      <c r="F193" s="9" t="s">
        <v>30</v>
      </c>
      <c r="M193" s="27">
        <v>3.5</v>
      </c>
    </row>
    <row r="194" spans="5:13">
      <c r="E194" s="21">
        <f t="shared" si="53"/>
        <v>194</v>
      </c>
      <c r="F194" s="9" t="s">
        <v>31</v>
      </c>
      <c r="L194" s="9" t="s">
        <v>136</v>
      </c>
      <c r="M194" s="27" t="s">
        <v>261</v>
      </c>
    </row>
    <row r="199" spans="5:13">
      <c r="E199" s="21">
        <f t="shared" ref="E199:E208" si="54">ROW(E199)</f>
        <v>199</v>
      </c>
      <c r="F199" s="9" t="s">
        <v>93</v>
      </c>
      <c r="M199" s="21">
        <v>15900</v>
      </c>
    </row>
    <row r="200" spans="5:13">
      <c r="E200" s="21">
        <f>ROW(E200)</f>
        <v>200</v>
      </c>
      <c r="F200" s="9" t="s">
        <v>143</v>
      </c>
      <c r="M200" s="21">
        <v>15800</v>
      </c>
    </row>
    <row r="201" spans="5:13">
      <c r="E201" s="21">
        <f>ROW(E201)</f>
        <v>201</v>
      </c>
      <c r="F201" s="9" t="s">
        <v>127</v>
      </c>
      <c r="M201" s="21">
        <v>0</v>
      </c>
    </row>
    <row r="202" spans="5:13">
      <c r="E202" s="21">
        <f t="shared" si="54"/>
        <v>202</v>
      </c>
      <c r="F202" s="9" t="s">
        <v>29</v>
      </c>
      <c r="M202" s="21" t="s">
        <v>254</v>
      </c>
    </row>
    <row r="203" spans="5:13">
      <c r="E203" s="21">
        <f t="shared" si="54"/>
        <v>203</v>
      </c>
      <c r="F203" s="9" t="s">
        <v>119</v>
      </c>
      <c r="M203" s="21" t="s">
        <v>255</v>
      </c>
    </row>
    <row r="204" spans="5:13">
      <c r="E204" s="21">
        <f t="shared" si="54"/>
        <v>204</v>
      </c>
      <c r="F204" s="9" t="s">
        <v>99</v>
      </c>
      <c r="K204" s="9" t="s">
        <v>138</v>
      </c>
      <c r="M204" s="21">
        <v>2</v>
      </c>
    </row>
    <row r="205" spans="5:13">
      <c r="E205" s="21">
        <f t="shared" si="54"/>
        <v>205</v>
      </c>
      <c r="F205" s="9" t="s">
        <v>31</v>
      </c>
      <c r="L205" s="9" t="s">
        <v>256</v>
      </c>
      <c r="M205" s="21" t="s">
        <v>257</v>
      </c>
    </row>
    <row r="206" spans="5:13">
      <c r="E206" s="21">
        <f t="shared" si="54"/>
        <v>206</v>
      </c>
      <c r="F206" s="9" t="s">
        <v>116</v>
      </c>
      <c r="M206" s="27">
        <v>0.7</v>
      </c>
    </row>
    <row r="207" spans="5:13">
      <c r="E207" s="21">
        <f t="shared" si="54"/>
        <v>207</v>
      </c>
      <c r="F207" s="9" t="s">
        <v>110</v>
      </c>
      <c r="M207" s="21">
        <v>2</v>
      </c>
    </row>
    <row r="208" spans="5:13">
      <c r="E208" s="21">
        <f t="shared" si="54"/>
        <v>208</v>
      </c>
      <c r="F208" s="9" t="s">
        <v>115</v>
      </c>
      <c r="M208" s="21" t="b">
        <v>1</v>
      </c>
    </row>
  </sheetData>
  <phoneticPr fontId="2" type="noConversion"/>
  <conditionalFormatting sqref="BE1:XFD1 E1:I1">
    <cfRule type="duplicateValues" dxfId="75" priority="1841"/>
  </conditionalFormatting>
  <conditionalFormatting sqref="F1:F10 F45 F13 F34:F36">
    <cfRule type="cellIs" dxfId="74" priority="1342" operator="equal">
      <formula>"ID"</formula>
    </cfRule>
    <cfRule type="cellIs" dxfId="73" priority="1757" operator="equal">
      <formula>"行動序號"</formula>
    </cfRule>
  </conditionalFormatting>
  <conditionalFormatting sqref="J1">
    <cfRule type="duplicateValues" dxfId="72" priority="1340"/>
  </conditionalFormatting>
  <conditionalFormatting sqref="K1:L1">
    <cfRule type="duplicateValues" dxfId="71" priority="1337"/>
  </conditionalFormatting>
  <conditionalFormatting sqref="M1:M183 M196:M1048576">
    <cfRule type="expression" dxfId="70" priority="952">
      <formula>_xlfn.ISFORMULA(M1)</formula>
    </cfRule>
  </conditionalFormatting>
  <conditionalFormatting sqref="N1:BD1">
    <cfRule type="duplicateValues" dxfId="69" priority="1857"/>
  </conditionalFormatting>
  <conditionalFormatting sqref="F14 F11:F12">
    <cfRule type="cellIs" dxfId="68" priority="62" operator="equal">
      <formula>"ID"</formula>
    </cfRule>
    <cfRule type="cellIs" dxfId="67" priority="63" operator="equal">
      <formula>"行動序號"</formula>
    </cfRule>
  </conditionalFormatting>
  <conditionalFormatting sqref="J21 J37">
    <cfRule type="expression" dxfId="66" priority="60">
      <formula>_xlfn.ISFORMULA(J21)</formula>
    </cfRule>
  </conditionalFormatting>
  <conditionalFormatting sqref="F1:F183 F196:F1048576">
    <cfRule type="cellIs" dxfId="65" priority="55" operator="equal">
      <formula>"ID"</formula>
    </cfRule>
    <cfRule type="cellIs" dxfId="64" priority="56" operator="equal">
      <formula>"行動ID"</formula>
    </cfRule>
  </conditionalFormatting>
  <conditionalFormatting sqref="F33">
    <cfRule type="cellIs" dxfId="63" priority="44" operator="equal">
      <formula>"ID"</formula>
    </cfRule>
    <cfRule type="cellIs" dxfId="62" priority="45" operator="equal">
      <formula>"行動序號"</formula>
    </cfRule>
  </conditionalFormatting>
  <conditionalFormatting sqref="J21">
    <cfRule type="expression" dxfId="61" priority="65">
      <formula>OR($F19="行動序號",$F19="ID")</formula>
    </cfRule>
  </conditionalFormatting>
  <conditionalFormatting sqref="J21">
    <cfRule type="expression" dxfId="60" priority="66">
      <formula>$F19="行動ID"</formula>
    </cfRule>
  </conditionalFormatting>
  <conditionalFormatting sqref="F37:F41">
    <cfRule type="cellIs" dxfId="59" priority="34" operator="equal">
      <formula>"ID"</formula>
    </cfRule>
    <cfRule type="cellIs" dxfId="58" priority="35" operator="equal">
      <formula>"行動序號"</formula>
    </cfRule>
  </conditionalFormatting>
  <conditionalFormatting sqref="J37">
    <cfRule type="expression" dxfId="57" priority="36">
      <formula>OR($F33="行動序號",$F33="ID")</formula>
    </cfRule>
  </conditionalFormatting>
  <conditionalFormatting sqref="J37">
    <cfRule type="expression" dxfId="56" priority="37">
      <formula>$F33="行動ID"</formula>
    </cfRule>
  </conditionalFormatting>
  <conditionalFormatting sqref="M1:M183 M196:M1048576">
    <cfRule type="expression" dxfId="55" priority="16">
      <formula>AND(_xlfn.ISFORMULA(M1),OR($F1="行動ID", $F1="ID"))</formula>
    </cfRule>
    <cfRule type="expression" dxfId="54" priority="18">
      <formula>OR($F1="行動ID", $F1="ID")</formula>
    </cfRule>
  </conditionalFormatting>
  <conditionalFormatting sqref="F192:F194">
    <cfRule type="cellIs" dxfId="53" priority="13" operator="equal">
      <formula>"ID"</formula>
    </cfRule>
    <cfRule type="cellIs" dxfId="52" priority="14" operator="equal">
      <formula>"行動序號"</formula>
    </cfRule>
  </conditionalFormatting>
  <conditionalFormatting sqref="M184:M195">
    <cfRule type="expression" dxfId="51" priority="15">
      <formula>OR($F184="行動序號",$F184="ID")</formula>
    </cfRule>
  </conditionalFormatting>
  <conditionalFormatting sqref="M184:M195">
    <cfRule type="expression" dxfId="50" priority="12">
      <formula>$F184="行動ID"</formula>
    </cfRule>
  </conditionalFormatting>
  <conditionalFormatting sqref="F195">
    <cfRule type="cellIs" dxfId="49" priority="10" operator="equal">
      <formula>"ID"</formula>
    </cfRule>
    <cfRule type="cellIs" dxfId="48" priority="11" operator="equal">
      <formula>"行動序號"</formula>
    </cfRule>
  </conditionalFormatting>
  <conditionalFormatting sqref="J186 M184:M195">
    <cfRule type="expression" dxfId="47" priority="9">
      <formula>_xlfn.ISFORMULA(J184)</formula>
    </cfRule>
  </conditionalFormatting>
  <conditionalFormatting sqref="F186:F187 F189:F190">
    <cfRule type="cellIs" dxfId="46" priority="7" operator="equal">
      <formula>"ID"</formula>
    </cfRule>
    <cfRule type="cellIs" dxfId="45" priority="8" operator="equal">
      <formula>"行動序號"</formula>
    </cfRule>
  </conditionalFormatting>
  <conditionalFormatting sqref="F188">
    <cfRule type="cellIs" dxfId="44" priority="3" operator="equal">
      <formula>"ID"</formula>
    </cfRule>
    <cfRule type="cellIs" dxfId="43" priority="4" operator="equal">
      <formula>"行動序號"</formula>
    </cfRule>
  </conditionalFormatting>
  <conditionalFormatting sqref="J186">
    <cfRule type="expression" dxfId="42" priority="5">
      <formula>OR(#REF!="行動序號",#REF!="ID")</formula>
    </cfRule>
  </conditionalFormatting>
  <conditionalFormatting sqref="J186">
    <cfRule type="expression" dxfId="41" priority="6">
      <formula>#REF!="行動ID"</formula>
    </cfRule>
  </conditionalFormatting>
  <conditionalFormatting sqref="F191">
    <cfRule type="cellIs" dxfId="40" priority="1" operator="equal">
      <formula>"ID"</formula>
    </cfRule>
    <cfRule type="cellIs" dxfId="39" priority="2" operator="equal">
      <formula>"行動序號"</formula>
    </cfRule>
  </conditionalFormatting>
  <dataValidations count="1">
    <dataValidation type="list" allowBlank="1" showInputMessage="1" showErrorMessage="1" sqref="L19 K8 L5:L6 K204 L205 K16:L16 L199 F207 F206 L17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150</v>
      </c>
      <c r="C17" s="7" t="s">
        <v>232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151</v>
      </c>
      <c r="E20" t="str">
        <f t="shared" si="0"/>
        <v>啟動依ID,</v>
      </c>
      <c r="H20"/>
    </row>
    <row r="21" spans="1:8">
      <c r="A21" s="7" t="s">
        <v>27</v>
      </c>
      <c r="B21" s="7" t="s">
        <v>152</v>
      </c>
      <c r="C21" s="7" t="s">
        <v>153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154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155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156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157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158</v>
      </c>
      <c r="C26" s="7" t="s">
        <v>159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160</v>
      </c>
      <c r="C27" s="7" t="s">
        <v>161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162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163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164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165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166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167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168</v>
      </c>
      <c r="C36" s="7" t="s">
        <v>169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170</v>
      </c>
      <c r="C37" s="7" t="s">
        <v>171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172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173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174</v>
      </c>
      <c r="E42" t="str">
        <f t="shared" si="0"/>
        <v>死亡時間,</v>
      </c>
      <c r="H42"/>
    </row>
    <row r="43" spans="1:8">
      <c r="A43" s="7" t="s">
        <v>27</v>
      </c>
      <c r="B43" s="7" t="s">
        <v>228</v>
      </c>
      <c r="C43" s="7" t="s">
        <v>229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175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176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177</v>
      </c>
      <c r="E48" t="str">
        <f t="shared" si="0"/>
        <v>位置參數,</v>
      </c>
      <c r="H48"/>
    </row>
    <row r="49" spans="1:8">
      <c r="A49" s="7" t="s">
        <v>27</v>
      </c>
      <c r="B49" s="7" t="s">
        <v>178</v>
      </c>
      <c r="C49" s="7" t="s">
        <v>179</v>
      </c>
      <c r="E49" t="str">
        <f t="shared" si="0"/>
        <v>加位置,</v>
      </c>
      <c r="H49"/>
    </row>
    <row r="50" spans="1:8">
      <c r="A50" s="7" t="s">
        <v>27</v>
      </c>
      <c r="B50" s="7" t="s">
        <v>239</v>
      </c>
      <c r="C50" s="7" t="s">
        <v>240</v>
      </c>
      <c r="E50" t="str">
        <f t="shared" si="0"/>
        <v>記錄位置,</v>
      </c>
      <c r="H50"/>
    </row>
    <row r="51" spans="1:8">
      <c r="A51" s="7" t="s">
        <v>27</v>
      </c>
      <c r="B51" s="7" t="s">
        <v>241</v>
      </c>
      <c r="C51" s="7" t="s">
        <v>242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180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181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182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183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184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185</v>
      </c>
      <c r="C59" s="7" t="s">
        <v>186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187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233</v>
      </c>
      <c r="C61" s="7" t="s">
        <v>234</v>
      </c>
      <c r="E61" t="str">
        <f t="shared" si="0"/>
        <v>子旋轉角度,</v>
      </c>
      <c r="H61"/>
    </row>
    <row r="62" spans="1:8">
      <c r="A62" s="7" t="s">
        <v>27</v>
      </c>
      <c r="B62" s="24" t="s">
        <v>235</v>
      </c>
      <c r="C62" s="7" t="s">
        <v>236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243</v>
      </c>
      <c r="C63" s="7" t="s">
        <v>244</v>
      </c>
      <c r="E63" t="str">
        <f t="shared" si="0"/>
        <v>記錄角度,</v>
      </c>
      <c r="H63"/>
    </row>
    <row r="64" spans="1:8">
      <c r="A64" s="7" t="s">
        <v>27</v>
      </c>
      <c r="B64" s="7" t="s">
        <v>246</v>
      </c>
      <c r="C64" s="7" t="s">
        <v>245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188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189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190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191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192</v>
      </c>
      <c r="C73" s="7" t="s">
        <v>193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194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195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196</v>
      </c>
      <c r="E76" t="str">
        <f t="shared" si="0"/>
        <v>回收距離,</v>
      </c>
      <c r="H76"/>
    </row>
    <row r="77" spans="1:11">
      <c r="A77" s="7" t="s">
        <v>27</v>
      </c>
      <c r="B77" s="7" t="s">
        <v>197</v>
      </c>
      <c r="C77" s="7" t="s">
        <v>198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199</v>
      </c>
      <c r="C78" s="7" t="s">
        <v>200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201</v>
      </c>
      <c r="C79" s="7" t="s">
        <v>202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203</v>
      </c>
      <c r="C80" s="7" t="s">
        <v>204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205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206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207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208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209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210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211</v>
      </c>
      <c r="C91" s="7" t="s">
        <v>212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213</v>
      </c>
      <c r="C92" s="7" t="s">
        <v>214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215</v>
      </c>
      <c r="C93" s="7" t="s">
        <v>216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217</v>
      </c>
      <c r="C94" s="7" t="s">
        <v>218</v>
      </c>
      <c r="E94" t="str">
        <f t="shared" si="1"/>
        <v>玩家Shift,</v>
      </c>
      <c r="H94"/>
    </row>
    <row r="95" spans="1:11">
      <c r="A95" s="7" t="s">
        <v>27</v>
      </c>
      <c r="B95" s="7" t="s">
        <v>219</v>
      </c>
      <c r="C95" s="7" t="s">
        <v>220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221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222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223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224</v>
      </c>
      <c r="C114" s="7" t="s">
        <v>22</v>
      </c>
      <c r="D114" s="7"/>
      <c r="L114" s="7"/>
    </row>
    <row r="115" spans="1:12">
      <c r="A115" s="7" t="s">
        <v>141</v>
      </c>
      <c r="B115" s="7" t="s">
        <v>225</v>
      </c>
      <c r="C115" s="7" t="s">
        <v>23</v>
      </c>
      <c r="H115"/>
    </row>
    <row r="116" spans="1:12">
      <c r="A116" s="7" t="s">
        <v>141</v>
      </c>
      <c r="B116" s="7" t="s">
        <v>247</v>
      </c>
      <c r="C116" s="7" t="s">
        <v>24</v>
      </c>
      <c r="H116"/>
    </row>
    <row r="117" spans="1:12">
      <c r="A117" s="7" t="s">
        <v>141</v>
      </c>
      <c r="B117" s="7" t="s">
        <v>250</v>
      </c>
      <c r="C117" s="7" t="s">
        <v>251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topLeftCell="A67"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226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227</v>
      </c>
      <c r="D4" s="19"/>
      <c r="G4" s="9"/>
      <c r="H4" s="18"/>
    </row>
    <row r="5" spans="1:10" ht="17.25" customHeight="1">
      <c r="A5" s="19" t="s">
        <v>100</v>
      </c>
      <c r="B5" s="19" t="s">
        <v>221</v>
      </c>
      <c r="C5" s="19" t="s">
        <v>224</v>
      </c>
      <c r="D5" s="19"/>
      <c r="G5" s="9"/>
    </row>
    <row r="6" spans="1:10">
      <c r="A6" s="19" t="s">
        <v>103</v>
      </c>
      <c r="B6" s="19" t="s">
        <v>222</v>
      </c>
      <c r="C6" s="19" t="s">
        <v>225</v>
      </c>
      <c r="D6" s="19"/>
      <c r="G6" s="9"/>
    </row>
    <row r="7" spans="1:10">
      <c r="A7" s="19" t="s">
        <v>48</v>
      </c>
      <c r="B7" s="19" t="s">
        <v>223</v>
      </c>
      <c r="C7" s="23" t="s">
        <v>247</v>
      </c>
      <c r="D7" s="19"/>
      <c r="G7" s="9"/>
    </row>
    <row r="8" spans="1:10">
      <c r="A8" s="19" t="s">
        <v>148</v>
      </c>
      <c r="B8" s="23"/>
      <c r="C8" s="7" t="s">
        <v>250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231</v>
      </c>
      <c r="B10" s="19"/>
      <c r="C10" s="19"/>
      <c r="D10" s="19"/>
      <c r="G10" s="9"/>
    </row>
    <row r="11" spans="1:10">
      <c r="A11" s="19" t="s">
        <v>149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150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152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158</v>
      </c>
      <c r="C26"/>
      <c r="G26" s="9"/>
    </row>
    <row r="27" spans="1:7">
      <c r="A27" s="19" t="s">
        <v>160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168</v>
      </c>
      <c r="C36"/>
    </row>
    <row r="37" spans="1:7">
      <c r="A37" s="19" t="s">
        <v>170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228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178</v>
      </c>
      <c r="C49"/>
      <c r="G49" s="9"/>
    </row>
    <row r="50" spans="1:8">
      <c r="A50" s="24" t="s">
        <v>243</v>
      </c>
      <c r="C50"/>
      <c r="G50" s="9"/>
    </row>
    <row r="51" spans="1:8">
      <c r="A51" s="24" t="s">
        <v>248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237</v>
      </c>
      <c r="C57"/>
      <c r="G57" s="9"/>
    </row>
    <row r="58" spans="1:8">
      <c r="A58" s="19" t="s">
        <v>133</v>
      </c>
      <c r="G58" s="9"/>
    </row>
    <row r="59" spans="1:8">
      <c r="A59" s="19" t="s">
        <v>185</v>
      </c>
      <c r="G59" s="9"/>
    </row>
    <row r="60" spans="1:8">
      <c r="A60" s="19" t="s">
        <v>115</v>
      </c>
      <c r="G60" s="9"/>
    </row>
    <row r="61" spans="1:8">
      <c r="A61" s="24" t="s">
        <v>233</v>
      </c>
      <c r="G61" s="9"/>
    </row>
    <row r="62" spans="1:8">
      <c r="A62" s="24" t="s">
        <v>235</v>
      </c>
      <c r="G62" s="9"/>
    </row>
    <row r="63" spans="1:8">
      <c r="A63" s="24" t="s">
        <v>243</v>
      </c>
      <c r="G63" s="9"/>
    </row>
    <row r="64" spans="1:8">
      <c r="A64" s="24" t="s">
        <v>246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192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197</v>
      </c>
      <c r="G77" s="9"/>
    </row>
    <row r="78" spans="1:7">
      <c r="A78" s="19" t="s">
        <v>199</v>
      </c>
      <c r="G78" s="9"/>
    </row>
    <row r="79" spans="1:7">
      <c r="A79" s="19" t="s">
        <v>201</v>
      </c>
    </row>
    <row r="80" spans="1:7">
      <c r="A80" s="19" t="s">
        <v>203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211</v>
      </c>
    </row>
    <row r="92" spans="1:1">
      <c r="A92" s="19" t="s">
        <v>213</v>
      </c>
    </row>
    <row r="93" spans="1:1">
      <c r="A93" s="19" t="s">
        <v>215</v>
      </c>
    </row>
    <row r="94" spans="1:1">
      <c r="A94" s="19" t="s">
        <v>217</v>
      </c>
    </row>
    <row r="95" spans="1:1">
      <c r="A95" s="19" t="s">
        <v>219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stage7_notcard7shot</vt:lpstr>
      <vt:lpstr>#ALIAS</vt:lpstr>
      <vt:lpstr>#DEFINE</vt:lpstr>
      <vt:lpstr>#OPTION</vt:lpstr>
      <vt:lpstr>#PARAM</vt:lpstr>
      <vt:lpstr>#OUTPUT</vt:lpstr>
      <vt:lpstr>#使用說明</vt:lpstr>
      <vt:lpstr>'#OPTION'!_OPTION_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2025-04-18T15:28:37Z</dcterms:modified>
</cp:coreProperties>
</file>