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"/>
    </mc:Choice>
  </mc:AlternateContent>
  <xr:revisionPtr revIDLastSave="0" documentId="13_ncr:1_{38564B09-F223-420F-9FA0-99A79E2D62A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ower" sheetId="1" r:id="rId1"/>
    <sheet name="#ALIAS" sheetId="86" r:id="rId2"/>
    <sheet name="#DEFINE" sheetId="87" r:id="rId3"/>
    <sheet name="#OPTION" sheetId="88" r:id="rId4"/>
    <sheet name="#PARAM" sheetId="89" r:id="rId5"/>
    <sheet name="#OUTPUT" sheetId="90" r:id="rId6"/>
    <sheet name="#使用說明" sheetId="91" r:id="rId7"/>
  </sheets>
  <functionGroups builtInGroupCount="19"/>
  <externalReferences>
    <externalReference r:id="rId8"/>
  </externalReferences>
  <definedNames>
    <definedName name="_xlnm._FilterDatabase" localSheetId="0" hidden="1">power!$D$1:$D$9</definedName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_OPTION_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5" i="87" l="1"/>
  <c r="E94" i="87"/>
  <c r="E93" i="87"/>
  <c r="E92" i="87"/>
  <c r="E91" i="87"/>
  <c r="E88" i="87"/>
  <c r="E87" i="87"/>
  <c r="E86" i="87"/>
  <c r="E85" i="87"/>
  <c r="E84" i="87"/>
  <c r="E83" i="87"/>
  <c r="E80" i="87"/>
  <c r="E79" i="87"/>
  <c r="E78" i="87"/>
  <c r="E77" i="87"/>
  <c r="E76" i="87"/>
  <c r="E75" i="87"/>
  <c r="E74" i="87"/>
  <c r="E73" i="87"/>
  <c r="E70" i="87"/>
  <c r="E69" i="87"/>
  <c r="E68" i="87"/>
  <c r="E67" i="87"/>
  <c r="E64" i="87"/>
  <c r="E63" i="87"/>
  <c r="E62" i="87"/>
  <c r="E61" i="87"/>
  <c r="E60" i="87"/>
  <c r="E59" i="87"/>
  <c r="E58" i="87"/>
  <c r="E57" i="87"/>
  <c r="E56" i="87"/>
  <c r="E55" i="87"/>
  <c r="E54" i="87"/>
  <c r="E51" i="87"/>
  <c r="E50" i="87"/>
  <c r="E49" i="87"/>
  <c r="E48" i="87"/>
  <c r="E47" i="87"/>
  <c r="E46" i="87"/>
  <c r="E43" i="87"/>
  <c r="E42" i="87"/>
  <c r="E41" i="87"/>
  <c r="E40" i="87"/>
  <c r="E37" i="87"/>
  <c r="E36" i="87"/>
  <c r="E35" i="87"/>
  <c r="E34" i="87"/>
  <c r="E33" i="87"/>
  <c r="E32" i="87"/>
  <c r="E31" i="87"/>
  <c r="E30" i="87"/>
  <c r="E27" i="87"/>
  <c r="E26" i="87"/>
  <c r="E25" i="87"/>
  <c r="E24" i="87"/>
  <c r="E23" i="87"/>
  <c r="E22" i="87"/>
  <c r="E21" i="87"/>
  <c r="E20" i="87"/>
  <c r="E17" i="87"/>
  <c r="E16" i="87"/>
  <c r="E15" i="87"/>
  <c r="E14" i="87"/>
  <c r="E13" i="87"/>
  <c r="E12" i="87"/>
  <c r="E11" i="87"/>
  <c r="E10" i="87"/>
  <c r="E9" i="87"/>
  <c r="E8" i="87"/>
  <c r="E7" i="87"/>
  <c r="E6" i="87"/>
  <c r="E5" i="87"/>
  <c r="E4" i="87"/>
  <c r="E3" i="87"/>
  <c r="E98" i="1" l="1"/>
  <c r="E97" i="1"/>
  <c r="E96" i="1"/>
  <c r="E95" i="1"/>
  <c r="H94" i="1"/>
  <c r="G94" i="1"/>
  <c r="E94" i="1"/>
  <c r="E93" i="1"/>
  <c r="E92" i="1"/>
  <c r="E91" i="1"/>
  <c r="E89" i="1"/>
  <c r="E88" i="1"/>
  <c r="E87" i="1"/>
  <c r="E86" i="1"/>
  <c r="H85" i="1"/>
  <c r="G85" i="1"/>
  <c r="E85" i="1"/>
  <c r="E84" i="1"/>
  <c r="E83" i="1"/>
  <c r="E82" i="1"/>
  <c r="E80" i="1"/>
  <c r="E79" i="1"/>
  <c r="E78" i="1"/>
  <c r="E77" i="1"/>
  <c r="H76" i="1"/>
  <c r="G76" i="1"/>
  <c r="E76" i="1"/>
  <c r="E75" i="1"/>
  <c r="E74" i="1"/>
  <c r="E73" i="1"/>
  <c r="E71" i="1"/>
  <c r="E70" i="1"/>
  <c r="E69" i="1"/>
  <c r="E68" i="1"/>
  <c r="H67" i="1"/>
  <c r="G67" i="1"/>
  <c r="E67" i="1"/>
  <c r="E66" i="1"/>
  <c r="E65" i="1"/>
  <c r="E64" i="1"/>
  <c r="E62" i="1"/>
  <c r="E61" i="1"/>
  <c r="E60" i="1"/>
  <c r="E59" i="1"/>
  <c r="H58" i="1"/>
  <c r="G58" i="1"/>
  <c r="E58" i="1"/>
  <c r="E57" i="1"/>
  <c r="E56" i="1"/>
  <c r="E55" i="1"/>
  <c r="E53" i="1"/>
  <c r="E52" i="1"/>
  <c r="E51" i="1"/>
  <c r="E50" i="1"/>
  <c r="H49" i="1"/>
  <c r="G49" i="1"/>
  <c r="E49" i="1"/>
  <c r="E48" i="1"/>
  <c r="E47" i="1"/>
  <c r="E46" i="1"/>
  <c r="E44" i="1"/>
  <c r="E43" i="1"/>
  <c r="E42" i="1"/>
  <c r="E41" i="1"/>
  <c r="H40" i="1"/>
  <c r="G40" i="1"/>
  <c r="E40" i="1"/>
  <c r="E39" i="1"/>
  <c r="E38" i="1"/>
  <c r="E37" i="1"/>
  <c r="E35" i="1"/>
  <c r="E34" i="1"/>
  <c r="E33" i="1"/>
  <c r="E32" i="1"/>
  <c r="H31" i="1"/>
  <c r="G31" i="1"/>
  <c r="E31" i="1"/>
  <c r="E30" i="1"/>
  <c r="E29" i="1"/>
  <c r="E28" i="1"/>
  <c r="E26" i="1"/>
  <c r="E25" i="1"/>
  <c r="E24" i="1"/>
  <c r="E23" i="1"/>
  <c r="H22" i="1"/>
  <c r="G22" i="1"/>
  <c r="E22" i="1"/>
  <c r="E21" i="1"/>
  <c r="E20" i="1"/>
  <c r="E19" i="1"/>
  <c r="E16" i="1"/>
  <c r="H13" i="1"/>
  <c r="G13" i="1"/>
  <c r="D9" i="1"/>
  <c r="B9" i="1" s="1"/>
  <c r="E10" i="1"/>
  <c r="E11" i="1"/>
  <c r="E12" i="1"/>
  <c r="E13" i="1"/>
  <c r="E14" i="1"/>
  <c r="E15" i="1"/>
  <c r="E17" i="1"/>
  <c r="A8" i="1"/>
  <c r="D18" i="1" l="1"/>
  <c r="M19" i="1" s="1"/>
  <c r="D27" i="1"/>
  <c r="B27" i="1" s="1"/>
  <c r="C27" i="1" s="1"/>
  <c r="M58" i="1"/>
  <c r="M22" i="1"/>
  <c r="M40" i="1"/>
  <c r="M49" i="1"/>
  <c r="M76" i="1"/>
  <c r="M85" i="1"/>
  <c r="M94" i="1"/>
  <c r="M31" i="1"/>
  <c r="M67" i="1"/>
  <c r="B18" i="1"/>
  <c r="C18" i="1" s="1"/>
  <c r="M28" i="1"/>
  <c r="D36" i="1"/>
  <c r="D45" i="1" s="1"/>
  <c r="M13" i="1"/>
  <c r="C9" i="1"/>
  <c r="M10" i="1"/>
  <c r="M46" i="1" l="1"/>
  <c r="B45" i="1"/>
  <c r="C45" i="1" s="1"/>
  <c r="D54" i="1"/>
  <c r="D63" i="1"/>
  <c r="D72" i="1" s="1"/>
  <c r="D81" i="1" s="1"/>
  <c r="B36" i="1"/>
  <c r="C36" i="1" s="1"/>
  <c r="M37" i="1"/>
  <c r="M64" i="1" l="1"/>
  <c r="B63" i="1"/>
  <c r="C63" i="1" s="1"/>
  <c r="M55" i="1"/>
  <c r="B54" i="1"/>
  <c r="C54" i="1" s="1"/>
  <c r="M82" i="1"/>
  <c r="B81" i="1"/>
  <c r="C81" i="1" s="1"/>
  <c r="D90" i="1"/>
  <c r="M73" i="1"/>
  <c r="B72" i="1"/>
  <c r="C72" i="1" s="1"/>
  <c r="M91" i="1" l="1"/>
  <c r="B90" i="1"/>
  <c r="C90" i="1" s="1"/>
</calcChain>
</file>

<file path=xl/sharedStrings.xml><?xml version="1.0" encoding="utf-8"?>
<sst xmlns="http://schemas.openxmlformats.org/spreadsheetml/2006/main" count="886" uniqueCount="249">
  <si>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</si>
  <si>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</si>
  <si>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</si>
  <si>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</si>
  <si>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</si>
  <si>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</si>
  <si>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</si>
  <si>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</si>
  <si>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</si>
  <si>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</si>
  <si>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</si>
  <si>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</si>
  <si>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</si>
  <si>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</si>
  <si>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</si>
  <si>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</si>
  <si>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</si>
  <si>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</si>
  <si>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</si>
  <si>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</si>
  <si>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</si>
  <si>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</si>
  <si>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</si>
  <si>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</si>
  <si>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</si>
  <si>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</si>
  <si>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</si>
  <si>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</si>
  <si>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</si>
  <si>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</si>
  <si>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</si>
  <si>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</si>
  <si>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</si>
  <si>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</si>
  <si>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</si>
  <si>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</si>
  <si>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</si>
  <si>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</si>
  <si>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</si>
  <si>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</si>
  <si>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</si>
  <si>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</si>
  <si>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</si>
  <si>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</si>
  <si>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</si>
  <si>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</si>
  <si>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</si>
  <si>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</si>
  <si>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</si>
  <si>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</si>
  <si>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</si>
  <si>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</si>
  <si>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</si>
  <si>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</si>
  <si>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</si>
  <si>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</si>
  <si>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</si>
  <si>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</si>
  <si>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</si>
  <si>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</si>
  <si>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</si>
  <si>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</si>
  <si>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</si>
  <si>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</si>
  <si>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</si>
  <si>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</si>
  <si>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</si>
  <si>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</si>
  <si>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</si>
  <si>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</si>
  <si>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</si>
  <si>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</si>
  <si>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</si>
  <si>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</si>
  <si>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</si>
  <si>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</si>
  <si>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</si>
  <si>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</si>
  <si>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</si>
  <si>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</si>
  <si>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</si>
  <si>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</si>
  <si>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</si>
  <si>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</si>
  <si>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</si>
  <si>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</si>
  <si>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</si>
  <si>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</si>
  <si>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</si>
  <si>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</si>
  <si>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</si>
  <si>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</si>
  <si>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</si>
  <si>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</si>
  <si>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</si>
  <si>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</si>
  <si>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</si>
  <si>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</si>
  <si>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</si>
  <si>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</si>
  <si>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</si>
  <si>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</si>
  <si>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</si>
  <si>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</si>
  <si>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</si>
  <si>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</si>
  <si>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</si>
  <si>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</si>
  <si>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</si>
  <si>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</si>
  <si>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</si>
  <si>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</si>
  <si>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</si>
  <si>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</si>
  <si>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</si>
  <si>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</si>
  <si>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</si>
  <si>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</si>
  <si>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</si>
  <si>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</si>
  <si>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</si>
  <si>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</si>
  <si>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</si>
  <si>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</si>
  <si>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</si>
  <si>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</si>
  <si>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</si>
  <si>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</si>
  <si>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</si>
  <si>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</si>
  <si>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</si>
  <si>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</si>
  <si>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</si>
  <si>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</si>
  <si>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</si>
  <si>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</si>
  <si>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</si>
  <si>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</si>
  <si>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</si>
  <si>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無行動時間=永久</t>
    <phoneticPr fontId="2" type="noConversion"/>
  </si>
  <si>
    <t>角度預設為角度值</t>
    <phoneticPr fontId="2" type="noConversion"/>
  </si>
  <si>
    <t>移動角度速度預設繼承父終值</t>
    <phoneticPr fontId="2" type="noConversion"/>
  </si>
  <si>
    <t>PosParamType</t>
    <phoneticPr fontId="2" type="noConversion"/>
  </si>
  <si>
    <t>AngleParamType</t>
    <phoneticPr fontId="2" type="noConversion"/>
  </si>
  <si>
    <t>PosParamType</t>
  </si>
  <si>
    <t>新參照位置12</t>
    <phoneticPr fontId="2" type="noConversion"/>
  </si>
  <si>
    <t>加位置</t>
  </si>
  <si>
    <t>Power</t>
  </si>
  <si>
    <t>900</t>
    <phoneticPr fontId="2" type="noConversion"/>
  </si>
  <si>
    <t>Self = 1,
Parent = 2,
Player = 3,
Boss = 4,
Center=5,
BossHome=6,</t>
    <phoneticPr fontId="2" type="noConversion"/>
  </si>
  <si>
    <t>角度ID旋轉</t>
  </si>
  <si>
    <t/>
  </si>
  <si>
    <t>ID</t>
    <phoneticPr fontId="2" type="noConversion"/>
  </si>
  <si>
    <t>復位</t>
  </si>
  <si>
    <t>下一關</t>
  </si>
  <si>
    <t>啟動依ID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</si>
  <si>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</si>
  <si>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</si>
  <si>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</si>
  <si>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</si>
  <si>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</si>
  <si>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</si>
  <si>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</si>
  <si>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</si>
  <si>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</si>
  <si>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</si>
  <si>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</si>
  <si>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</si>
  <si>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</si>
  <si>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</si>
  <si>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</si>
  <si>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</si>
  <si>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</si>
  <si>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</si>
  <si>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</si>
  <si>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</si>
  <si>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</si>
  <si>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</si>
  <si>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</si>
  <si>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</si>
  <si>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</si>
  <si>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</si>
  <si>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</si>
  <si>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</si>
  <si>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</si>
  <si>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</si>
  <si>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</si>
  <si>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</si>
  <si>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</si>
  <si>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</si>
  <si>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</si>
  <si>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</si>
  <si>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</si>
  <si>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</si>
  <si>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</si>
  <si>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</si>
  <si>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</si>
  <si>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</si>
  <si>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</si>
  <si>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</si>
  <si>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</si>
  <si>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</si>
  <si>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</si>
  <si>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</si>
  <si>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</si>
  <si>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</si>
  <si>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</si>
  <si>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</si>
  <si>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</si>
  <si>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</si>
  <si>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</si>
  <si>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</si>
  <si>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</si>
  <si>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</si>
  <si>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</si>
  <si>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</si>
  <si>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</si>
  <si>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</si>
  <si>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</si>
  <si>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</si>
  <si>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</si>
  <si>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</si>
  <si>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</si>
  <si>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</si>
  <si>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</si>
  <si>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</si>
  <si>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</si>
  <si>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</si>
  <si>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</si>
  <si>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新參照位置12</t>
  </si>
  <si>
    <t>符卡時間</t>
    <phoneticPr fontId="2" type="noConversion"/>
  </si>
  <si>
    <t>304</t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</si>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</sst>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176" fontId="0" fillId="0" borderId="0" xfId="0" applyNumberFormat="1" applyAlignment="1">
      <alignment horizontal="center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cook-win\STG%20project\Assets\Setting\Stage7_Normal\stage7_9&#32066;boss%20-%20&#31526;5&#23376;&#24392;2.xlsm" TargetMode="External"/><Relationship Id="rId1" Type="http://schemas.openxmlformats.org/officeDocument/2006/relationships/externalLinkPath" Target="Stage7_Normal/stage7_9&#32066;boss%20-%20&#31526;5&#23376;&#24392;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ge7_card5shot2"/>
      <sheetName val="#ALIAS"/>
      <sheetName val="#DEFINE"/>
      <sheetName val="#OPTION"/>
      <sheetName val="#PARAM"/>
      <sheetName val="#OUTPUT"/>
      <sheetName val="#使用說明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249"/>
  <sheetViews>
    <sheetView tabSelected="1" zoomScale="115" zoomScaleNormal="115" workbookViewId="0">
      <pane ySplit="1" topLeftCell="A2" activePane="bottomLeft" state="frozen"/>
      <selection pane="bottomLeft" activeCell="K11" sqref="K11"/>
    </sheetView>
  </sheetViews>
  <sheetFormatPr defaultRowHeight="19.5"/>
  <cols>
    <col min="1" max="2" width="9" style="9"/>
    <col min="3" max="3" width="5.875" style="22" customWidth="1"/>
    <col min="4" max="4" width="6.125" style="22" customWidth="1"/>
    <col min="5" max="5" width="9" style="22"/>
    <col min="6" max="6" width="16.125" style="9" bestFit="1" customWidth="1"/>
    <col min="7" max="7" width="7.375" style="22" customWidth="1"/>
    <col min="8" max="8" width="5" style="22" customWidth="1"/>
    <col min="9" max="9" width="5.125" style="22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2" bestFit="1" customWidth="1"/>
    <col min="14" max="14" width="16.125" style="9" bestFit="1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56" s="17" customFormat="1">
      <c r="C1" s="23"/>
      <c r="D1" s="23"/>
      <c r="E1" s="23" t="s">
        <v>49</v>
      </c>
      <c r="F1" s="19" t="s">
        <v>27</v>
      </c>
      <c r="G1" s="23"/>
      <c r="H1" s="23"/>
      <c r="I1" s="23"/>
      <c r="K1" s="17" t="s">
        <v>142</v>
      </c>
      <c r="L1" s="17" t="s">
        <v>143</v>
      </c>
      <c r="M1" s="22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2" spans="1:56">
      <c r="C2" s="22" t="s">
        <v>139</v>
      </c>
    </row>
    <row r="3" spans="1:56">
      <c r="C3" s="22" t="s">
        <v>140</v>
      </c>
    </row>
    <row r="4" spans="1:56">
      <c r="C4" s="22" t="s">
        <v>141</v>
      </c>
    </row>
    <row r="8" spans="1:56">
      <c r="A8" s="22">
        <f>G10*H10</f>
        <v>10</v>
      </c>
      <c r="C8" s="9"/>
      <c r="D8" s="9"/>
    </row>
    <row r="9" spans="1:56">
      <c r="A9" s="9" t="s">
        <v>151</v>
      </c>
      <c r="B9" s="22">
        <f>QUOTIENT( D9-1,G10)+1</f>
        <v>1</v>
      </c>
      <c r="C9" s="22">
        <f>D9-(B9-1)*G10</f>
        <v>1</v>
      </c>
      <c r="D9" s="22">
        <f>COUNT($D$8:$D8)+1</f>
        <v>1</v>
      </c>
      <c r="F9" s="9" t="s">
        <v>151</v>
      </c>
      <c r="K9" s="9" t="s">
        <v>151</v>
      </c>
      <c r="L9" s="9" t="s">
        <v>151</v>
      </c>
    </row>
    <row r="10" spans="1:56">
      <c r="A10" s="9" t="s">
        <v>151</v>
      </c>
      <c r="B10" s="9" t="s">
        <v>151</v>
      </c>
      <c r="E10" s="22">
        <f t="shared" ref="E10:E15" si="0">ROW(E10)</f>
        <v>10</v>
      </c>
      <c r="F10" s="9" t="s">
        <v>147</v>
      </c>
      <c r="G10" s="22">
        <v>10</v>
      </c>
      <c r="H10" s="22">
        <v>1</v>
      </c>
      <c r="J10" s="22" t="s">
        <v>148</v>
      </c>
      <c r="K10" s="9" t="s">
        <v>151</v>
      </c>
      <c r="L10" s="9" t="s">
        <v>151</v>
      </c>
      <c r="M10" s="22">
        <f>$J$10+D9</f>
        <v>901</v>
      </c>
    </row>
    <row r="11" spans="1:56">
      <c r="A11" s="9" t="s">
        <v>151</v>
      </c>
      <c r="B11" s="9" t="s">
        <v>151</v>
      </c>
      <c r="E11" s="22">
        <f t="shared" si="0"/>
        <v>11</v>
      </c>
      <c r="F11" s="9" t="s">
        <v>29</v>
      </c>
      <c r="K11" s="9" t="s">
        <v>151</v>
      </c>
      <c r="L11" s="9" t="s">
        <v>151</v>
      </c>
      <c r="M11" s="22" t="s">
        <v>147</v>
      </c>
    </row>
    <row r="12" spans="1:56">
      <c r="A12" s="9" t="s">
        <v>151</v>
      </c>
      <c r="B12" s="9" t="s">
        <v>151</v>
      </c>
      <c r="E12" s="22">
        <f t="shared" si="0"/>
        <v>12</v>
      </c>
      <c r="F12" s="9" t="s">
        <v>98</v>
      </c>
      <c r="K12" s="9" t="s">
        <v>137</v>
      </c>
      <c r="L12" s="9" t="s">
        <v>151</v>
      </c>
      <c r="M12" s="22">
        <v>2</v>
      </c>
    </row>
    <row r="13" spans="1:56">
      <c r="A13" s="9" t="s">
        <v>151</v>
      </c>
      <c r="B13" s="9" t="s">
        <v>151</v>
      </c>
      <c r="E13" s="22">
        <f t="shared" si="0"/>
        <v>13</v>
      </c>
      <c r="F13" s="9" t="s">
        <v>146</v>
      </c>
      <c r="G13" s="24">
        <f ca="1">RANDBETWEEN(-10,10)/10</f>
        <v>-0.3</v>
      </c>
      <c r="H13" s="24">
        <f ca="1">RANDBETWEEN(-5,5)/10</f>
        <v>0.2</v>
      </c>
      <c r="K13" s="9" t="s">
        <v>136</v>
      </c>
      <c r="L13" s="9" t="s">
        <v>151</v>
      </c>
      <c r="M13" s="22" t="str">
        <f ca="1">CONCATENATE(G13,",",H13)</f>
        <v>-0.3,0.2</v>
      </c>
    </row>
    <row r="14" spans="1:56">
      <c r="A14" s="9" t="s">
        <v>151</v>
      </c>
      <c r="B14" s="9" t="s">
        <v>151</v>
      </c>
      <c r="E14" s="22">
        <f t="shared" si="0"/>
        <v>14</v>
      </c>
      <c r="F14" s="9" t="s">
        <v>30</v>
      </c>
      <c r="K14" s="9" t="s">
        <v>151</v>
      </c>
      <c r="L14" s="9" t="s">
        <v>151</v>
      </c>
      <c r="M14" s="22">
        <v>-1</v>
      </c>
    </row>
    <row r="15" spans="1:56">
      <c r="A15" s="9" t="s">
        <v>151</v>
      </c>
      <c r="B15" s="9" t="s">
        <v>151</v>
      </c>
      <c r="E15" s="22">
        <f t="shared" si="0"/>
        <v>15</v>
      </c>
      <c r="F15" s="9" t="s">
        <v>115</v>
      </c>
      <c r="K15" s="9" t="s">
        <v>151</v>
      </c>
      <c r="L15" s="9" t="s">
        <v>151</v>
      </c>
      <c r="M15" s="22">
        <v>2</v>
      </c>
    </row>
    <row r="16" spans="1:56">
      <c r="A16" s="9" t="s">
        <v>151</v>
      </c>
      <c r="B16" s="9" t="s">
        <v>151</v>
      </c>
      <c r="E16" s="22">
        <f t="shared" ref="E16" si="1">ROW(E16)</f>
        <v>16</v>
      </c>
      <c r="F16" s="9" t="s">
        <v>109</v>
      </c>
      <c r="K16" s="9" t="s">
        <v>151</v>
      </c>
      <c r="L16" s="9" t="s">
        <v>151</v>
      </c>
      <c r="M16" s="22">
        <v>2</v>
      </c>
    </row>
    <row r="17" spans="1:13">
      <c r="A17" s="9" t="s">
        <v>151</v>
      </c>
      <c r="B17" s="9" t="s">
        <v>151</v>
      </c>
      <c r="E17" s="22">
        <f>ROW(E17)</f>
        <v>17</v>
      </c>
      <c r="F17" s="9" t="s">
        <v>31</v>
      </c>
      <c r="K17" s="9" t="s">
        <v>151</v>
      </c>
      <c r="L17" s="9" t="s">
        <v>134</v>
      </c>
      <c r="M17" s="22">
        <v>270</v>
      </c>
    </row>
    <row r="18" spans="1:13">
      <c r="A18" s="9" t="s">
        <v>151</v>
      </c>
      <c r="B18" s="9">
        <f t="shared" ref="B18" si="2">QUOTIENT( D18-1,G19)+1</f>
        <v>1</v>
      </c>
      <c r="C18" s="22">
        <f t="shared" ref="C18" si="3">D18-(B18-1)*G19</f>
        <v>2</v>
      </c>
      <c r="D18" s="22">
        <f>COUNT($D$8:$D17)+1</f>
        <v>2</v>
      </c>
      <c r="F18" s="9" t="s">
        <v>151</v>
      </c>
      <c r="K18" s="9" t="s">
        <v>151</v>
      </c>
      <c r="L18" s="9" t="s">
        <v>151</v>
      </c>
    </row>
    <row r="19" spans="1:13">
      <c r="A19" s="9" t="s">
        <v>151</v>
      </c>
      <c r="B19" s="9" t="s">
        <v>151</v>
      </c>
      <c r="E19" s="22">
        <f t="shared" ref="E19:E80" si="4">ROW(E19)</f>
        <v>19</v>
      </c>
      <c r="F19" s="9" t="s">
        <v>147</v>
      </c>
      <c r="G19" s="22">
        <v>10</v>
      </c>
      <c r="H19" s="22">
        <v>1</v>
      </c>
      <c r="K19" s="9" t="s">
        <v>151</v>
      </c>
      <c r="L19" s="9" t="s">
        <v>151</v>
      </c>
      <c r="M19" s="22">
        <f>$J$10+D18</f>
        <v>902</v>
      </c>
    </row>
    <row r="20" spans="1:13">
      <c r="A20" s="9" t="s">
        <v>151</v>
      </c>
      <c r="B20" s="9" t="s">
        <v>151</v>
      </c>
      <c r="E20" s="22">
        <f t="shared" si="4"/>
        <v>20</v>
      </c>
      <c r="F20" s="9" t="s">
        <v>29</v>
      </c>
      <c r="K20" s="9" t="s">
        <v>151</v>
      </c>
      <c r="L20" s="9" t="s">
        <v>151</v>
      </c>
      <c r="M20" s="22" t="s">
        <v>147</v>
      </c>
    </row>
    <row r="21" spans="1:13">
      <c r="A21" s="9" t="s">
        <v>151</v>
      </c>
      <c r="B21" s="9" t="s">
        <v>151</v>
      </c>
      <c r="E21" s="22">
        <f t="shared" si="4"/>
        <v>21</v>
      </c>
      <c r="F21" s="9" t="s">
        <v>98</v>
      </c>
      <c r="K21" s="9" t="s">
        <v>137</v>
      </c>
      <c r="L21" s="9" t="s">
        <v>151</v>
      </c>
      <c r="M21" s="22">
        <v>2</v>
      </c>
    </row>
    <row r="22" spans="1:13">
      <c r="A22" s="9" t="s">
        <v>151</v>
      </c>
      <c r="B22" s="9" t="s">
        <v>151</v>
      </c>
      <c r="E22" s="22">
        <f t="shared" si="4"/>
        <v>22</v>
      </c>
      <c r="F22" s="9" t="s">
        <v>146</v>
      </c>
      <c r="G22" s="22">
        <f t="shared" ref="G22" ca="1" si="5">RANDBETWEEN(-10,10)/10</f>
        <v>0</v>
      </c>
      <c r="H22" s="22">
        <f t="shared" ref="H22" ca="1" si="6">RANDBETWEEN(-5,5)/10</f>
        <v>0.4</v>
      </c>
      <c r="K22" s="9" t="s">
        <v>136</v>
      </c>
      <c r="L22" s="9" t="s">
        <v>151</v>
      </c>
      <c r="M22" s="22" t="str">
        <f t="shared" ref="M22" ca="1" si="7">CONCATENATE(G22,",",H22)</f>
        <v>0,0.4</v>
      </c>
    </row>
    <row r="23" spans="1:13">
      <c r="A23" s="9" t="s">
        <v>151</v>
      </c>
      <c r="B23" s="9" t="s">
        <v>151</v>
      </c>
      <c r="E23" s="22">
        <f t="shared" si="4"/>
        <v>23</v>
      </c>
      <c r="F23" s="9" t="s">
        <v>30</v>
      </c>
      <c r="K23" s="9" t="s">
        <v>151</v>
      </c>
      <c r="L23" s="9" t="s">
        <v>151</v>
      </c>
      <c r="M23" s="22">
        <v>-1</v>
      </c>
    </row>
    <row r="24" spans="1:13">
      <c r="A24" s="9" t="s">
        <v>151</v>
      </c>
      <c r="B24" s="9" t="s">
        <v>151</v>
      </c>
      <c r="E24" s="22">
        <f t="shared" si="4"/>
        <v>24</v>
      </c>
      <c r="F24" s="9" t="s">
        <v>115</v>
      </c>
      <c r="G24" s="24"/>
      <c r="H24" s="24"/>
      <c r="K24" s="9" t="s">
        <v>151</v>
      </c>
      <c r="L24" s="9" t="s">
        <v>151</v>
      </c>
      <c r="M24" s="22">
        <v>2</v>
      </c>
    </row>
    <row r="25" spans="1:13">
      <c r="A25" s="9" t="s">
        <v>151</v>
      </c>
      <c r="B25" s="9" t="s">
        <v>151</v>
      </c>
      <c r="E25" s="22">
        <f t="shared" si="4"/>
        <v>25</v>
      </c>
      <c r="F25" s="9" t="s">
        <v>109</v>
      </c>
      <c r="K25" s="9" t="s">
        <v>151</v>
      </c>
      <c r="L25" s="9" t="s">
        <v>151</v>
      </c>
      <c r="M25" s="22">
        <v>2</v>
      </c>
    </row>
    <row r="26" spans="1:13">
      <c r="A26" s="9" t="s">
        <v>151</v>
      </c>
      <c r="B26" s="9" t="s">
        <v>151</v>
      </c>
      <c r="E26" s="22">
        <f t="shared" si="4"/>
        <v>26</v>
      </c>
      <c r="F26" s="9" t="s">
        <v>31</v>
      </c>
      <c r="K26" s="9" t="s">
        <v>151</v>
      </c>
      <c r="L26" s="9" t="s">
        <v>134</v>
      </c>
      <c r="M26" s="22">
        <v>270</v>
      </c>
    </row>
    <row r="27" spans="1:13">
      <c r="A27" s="9" t="s">
        <v>151</v>
      </c>
      <c r="B27" s="9">
        <f t="shared" ref="B27" si="8">QUOTIENT( D27-1,G28)+1</f>
        <v>1</v>
      </c>
      <c r="C27" s="22">
        <f t="shared" ref="C27" si="9">D27-(B27-1)*G28</f>
        <v>3</v>
      </c>
      <c r="D27" s="22">
        <f>COUNT($D$8:$D26)+1</f>
        <v>3</v>
      </c>
      <c r="F27" s="9" t="s">
        <v>151</v>
      </c>
      <c r="K27" s="9" t="s">
        <v>151</v>
      </c>
      <c r="L27" s="9" t="s">
        <v>151</v>
      </c>
    </row>
    <row r="28" spans="1:13">
      <c r="A28" s="9" t="s">
        <v>151</v>
      </c>
      <c r="B28" s="9" t="s">
        <v>151</v>
      </c>
      <c r="E28" s="22">
        <f t="shared" ref="E28:E33" si="10">ROW(E28)</f>
        <v>28</v>
      </c>
      <c r="F28" s="9" t="s">
        <v>147</v>
      </c>
      <c r="G28" s="22">
        <v>10</v>
      </c>
      <c r="H28" s="22">
        <v>1</v>
      </c>
      <c r="K28" s="9" t="s">
        <v>151</v>
      </c>
      <c r="L28" s="9" t="s">
        <v>151</v>
      </c>
      <c r="M28" s="22">
        <f>$J$10+D27</f>
        <v>903</v>
      </c>
    </row>
    <row r="29" spans="1:13">
      <c r="A29" s="9" t="s">
        <v>151</v>
      </c>
      <c r="B29" s="9" t="s">
        <v>151</v>
      </c>
      <c r="E29" s="22">
        <f t="shared" si="10"/>
        <v>29</v>
      </c>
      <c r="F29" s="9" t="s">
        <v>29</v>
      </c>
      <c r="K29" s="9" t="s">
        <v>151</v>
      </c>
      <c r="L29" s="9" t="s">
        <v>151</v>
      </c>
      <c r="M29" s="22" t="s">
        <v>147</v>
      </c>
    </row>
    <row r="30" spans="1:13">
      <c r="A30" s="9" t="s">
        <v>151</v>
      </c>
      <c r="B30" s="9" t="s">
        <v>151</v>
      </c>
      <c r="E30" s="22">
        <f t="shared" si="10"/>
        <v>30</v>
      </c>
      <c r="F30" s="9" t="s">
        <v>98</v>
      </c>
      <c r="K30" s="9" t="s">
        <v>137</v>
      </c>
      <c r="L30" s="9" t="s">
        <v>151</v>
      </c>
      <c r="M30" s="22">
        <v>2</v>
      </c>
    </row>
    <row r="31" spans="1:13">
      <c r="A31" s="9" t="s">
        <v>151</v>
      </c>
      <c r="B31" s="9" t="s">
        <v>151</v>
      </c>
      <c r="E31" s="22">
        <f t="shared" si="10"/>
        <v>31</v>
      </c>
      <c r="F31" s="9" t="s">
        <v>146</v>
      </c>
      <c r="G31" s="22">
        <f t="shared" ref="G31" ca="1" si="11">RANDBETWEEN(-10,10)/10</f>
        <v>-0.2</v>
      </c>
      <c r="H31" s="22">
        <f t="shared" ref="H31" ca="1" si="12">RANDBETWEEN(-5,5)/10</f>
        <v>0.5</v>
      </c>
      <c r="K31" s="9" t="s">
        <v>136</v>
      </c>
      <c r="L31" s="9" t="s">
        <v>151</v>
      </c>
      <c r="M31" s="22" t="str">
        <f t="shared" ref="M31" ca="1" si="13">CONCATENATE(G31,",",H31)</f>
        <v>-0.2,0.5</v>
      </c>
    </row>
    <row r="32" spans="1:13">
      <c r="A32" s="9" t="s">
        <v>151</v>
      </c>
      <c r="B32" s="9" t="s">
        <v>151</v>
      </c>
      <c r="E32" s="22">
        <f t="shared" si="10"/>
        <v>32</v>
      </c>
      <c r="F32" s="9" t="s">
        <v>30</v>
      </c>
      <c r="K32" s="9" t="s">
        <v>151</v>
      </c>
      <c r="L32" s="9" t="s">
        <v>151</v>
      </c>
      <c r="M32" s="22">
        <v>-1</v>
      </c>
    </row>
    <row r="33" spans="1:13">
      <c r="A33" s="9" t="s">
        <v>151</v>
      </c>
      <c r="B33" s="9" t="s">
        <v>151</v>
      </c>
      <c r="E33" s="22">
        <f t="shared" si="10"/>
        <v>33</v>
      </c>
      <c r="F33" s="9" t="s">
        <v>115</v>
      </c>
      <c r="K33" s="9" t="s">
        <v>151</v>
      </c>
      <c r="L33" s="9" t="s">
        <v>151</v>
      </c>
      <c r="M33" s="22">
        <v>2</v>
      </c>
    </row>
    <row r="34" spans="1:13">
      <c r="A34" s="9" t="s">
        <v>151</v>
      </c>
      <c r="B34" s="9" t="s">
        <v>151</v>
      </c>
      <c r="E34" s="22">
        <f t="shared" si="4"/>
        <v>34</v>
      </c>
      <c r="F34" s="9" t="s">
        <v>109</v>
      </c>
      <c r="K34" s="9" t="s">
        <v>151</v>
      </c>
      <c r="L34" s="9" t="s">
        <v>151</v>
      </c>
      <c r="M34" s="22">
        <v>2</v>
      </c>
    </row>
    <row r="35" spans="1:13">
      <c r="A35" s="9" t="s">
        <v>151</v>
      </c>
      <c r="B35" s="9" t="s">
        <v>151</v>
      </c>
      <c r="E35" s="22">
        <f t="shared" si="4"/>
        <v>35</v>
      </c>
      <c r="F35" s="9" t="s">
        <v>31</v>
      </c>
      <c r="K35" s="9" t="s">
        <v>151</v>
      </c>
      <c r="L35" s="9" t="s">
        <v>134</v>
      </c>
      <c r="M35" s="22">
        <v>270</v>
      </c>
    </row>
    <row r="36" spans="1:13">
      <c r="A36" s="9" t="s">
        <v>151</v>
      </c>
      <c r="B36" s="9">
        <f t="shared" ref="B36" si="14">QUOTIENT( D36-1,G37)+1</f>
        <v>1</v>
      </c>
      <c r="C36" s="22">
        <f t="shared" ref="C36" si="15">D36-(B36-1)*G37</f>
        <v>4</v>
      </c>
      <c r="D36" s="22">
        <f>COUNT($D$8:$D35)+1</f>
        <v>4</v>
      </c>
      <c r="F36" s="9" t="s">
        <v>151</v>
      </c>
      <c r="K36" s="9" t="s">
        <v>151</v>
      </c>
      <c r="L36" s="9" t="s">
        <v>151</v>
      </c>
    </row>
    <row r="37" spans="1:13">
      <c r="A37" s="9" t="s">
        <v>151</v>
      </c>
      <c r="B37" s="9" t="s">
        <v>151</v>
      </c>
      <c r="E37" s="22">
        <f t="shared" ref="E37:E42" si="16">ROW(E37)</f>
        <v>37</v>
      </c>
      <c r="F37" s="9" t="s">
        <v>147</v>
      </c>
      <c r="G37" s="22">
        <v>10</v>
      </c>
      <c r="H37" s="22">
        <v>1</v>
      </c>
      <c r="K37" s="9" t="s">
        <v>151</v>
      </c>
      <c r="L37" s="9" t="s">
        <v>151</v>
      </c>
      <c r="M37" s="22">
        <f>$J$10+D36</f>
        <v>904</v>
      </c>
    </row>
    <row r="38" spans="1:13">
      <c r="A38" s="9" t="s">
        <v>151</v>
      </c>
      <c r="B38" s="9" t="s">
        <v>151</v>
      </c>
      <c r="E38" s="22">
        <f t="shared" si="16"/>
        <v>38</v>
      </c>
      <c r="F38" s="9" t="s">
        <v>29</v>
      </c>
      <c r="K38" s="9" t="s">
        <v>151</v>
      </c>
      <c r="L38" s="9" t="s">
        <v>151</v>
      </c>
      <c r="M38" s="22" t="s">
        <v>147</v>
      </c>
    </row>
    <row r="39" spans="1:13">
      <c r="A39" s="9" t="s">
        <v>151</v>
      </c>
      <c r="B39" s="9" t="s">
        <v>151</v>
      </c>
      <c r="E39" s="22">
        <f t="shared" si="16"/>
        <v>39</v>
      </c>
      <c r="F39" s="9" t="s">
        <v>98</v>
      </c>
      <c r="K39" s="9" t="s">
        <v>137</v>
      </c>
      <c r="L39" s="9" t="s">
        <v>151</v>
      </c>
      <c r="M39" s="22">
        <v>2</v>
      </c>
    </row>
    <row r="40" spans="1:13">
      <c r="A40" s="9" t="s">
        <v>151</v>
      </c>
      <c r="B40" s="9" t="s">
        <v>151</v>
      </c>
      <c r="E40" s="22">
        <f t="shared" si="16"/>
        <v>40</v>
      </c>
      <c r="F40" s="9" t="s">
        <v>146</v>
      </c>
      <c r="G40" s="22">
        <f t="shared" ref="G40" ca="1" si="17">RANDBETWEEN(-10,10)/10</f>
        <v>-0.4</v>
      </c>
      <c r="H40" s="22">
        <f t="shared" ref="H40" ca="1" si="18">RANDBETWEEN(-5,5)/10</f>
        <v>0.3</v>
      </c>
      <c r="K40" s="9" t="s">
        <v>136</v>
      </c>
      <c r="L40" s="9" t="s">
        <v>151</v>
      </c>
      <c r="M40" s="22" t="str">
        <f t="shared" ref="M40" ca="1" si="19">CONCATENATE(G40,",",H40)</f>
        <v>-0.4,0.3</v>
      </c>
    </row>
    <row r="41" spans="1:13">
      <c r="A41" s="9" t="s">
        <v>151</v>
      </c>
      <c r="B41" s="9" t="s">
        <v>151</v>
      </c>
      <c r="E41" s="22">
        <f t="shared" si="16"/>
        <v>41</v>
      </c>
      <c r="F41" s="9" t="s">
        <v>30</v>
      </c>
      <c r="K41" s="9" t="s">
        <v>151</v>
      </c>
      <c r="L41" s="9" t="s">
        <v>151</v>
      </c>
      <c r="M41" s="22">
        <v>-1</v>
      </c>
    </row>
    <row r="42" spans="1:13">
      <c r="A42" s="9" t="s">
        <v>151</v>
      </c>
      <c r="B42" s="9" t="s">
        <v>151</v>
      </c>
      <c r="E42" s="22">
        <f t="shared" si="16"/>
        <v>42</v>
      </c>
      <c r="F42" s="9" t="s">
        <v>115</v>
      </c>
      <c r="K42" s="9" t="s">
        <v>151</v>
      </c>
      <c r="L42" s="9" t="s">
        <v>151</v>
      </c>
      <c r="M42" s="22">
        <v>2</v>
      </c>
    </row>
    <row r="43" spans="1:13">
      <c r="A43" s="9" t="s">
        <v>151</v>
      </c>
      <c r="B43" s="9" t="s">
        <v>151</v>
      </c>
      <c r="E43" s="22">
        <f t="shared" si="4"/>
        <v>43</v>
      </c>
      <c r="F43" s="9" t="s">
        <v>109</v>
      </c>
      <c r="K43" s="9" t="s">
        <v>151</v>
      </c>
      <c r="L43" s="9" t="s">
        <v>151</v>
      </c>
      <c r="M43" s="22">
        <v>2</v>
      </c>
    </row>
    <row r="44" spans="1:13">
      <c r="A44" s="9" t="s">
        <v>151</v>
      </c>
      <c r="B44" s="9" t="s">
        <v>151</v>
      </c>
      <c r="E44" s="22">
        <f t="shared" si="4"/>
        <v>44</v>
      </c>
      <c r="F44" s="9" t="s">
        <v>31</v>
      </c>
      <c r="K44" s="9" t="s">
        <v>151</v>
      </c>
      <c r="L44" s="9" t="s">
        <v>134</v>
      </c>
      <c r="M44" s="22">
        <v>270</v>
      </c>
    </row>
    <row r="45" spans="1:13">
      <c r="A45" s="9" t="s">
        <v>151</v>
      </c>
      <c r="B45" s="9">
        <f t="shared" ref="B45" si="20">QUOTIENT( D45-1,G46)+1</f>
        <v>1</v>
      </c>
      <c r="C45" s="22">
        <f t="shared" ref="C45" si="21">D45-(B45-1)*G46</f>
        <v>5</v>
      </c>
      <c r="D45" s="22">
        <f>COUNT($D$8:$D44)+1</f>
        <v>5</v>
      </c>
      <c r="F45" s="9" t="s">
        <v>151</v>
      </c>
      <c r="K45" s="9" t="s">
        <v>151</v>
      </c>
      <c r="L45" s="9" t="s">
        <v>151</v>
      </c>
    </row>
    <row r="46" spans="1:13">
      <c r="A46" s="9" t="s">
        <v>151</v>
      </c>
      <c r="B46" s="9" t="s">
        <v>151</v>
      </c>
      <c r="E46" s="22">
        <f t="shared" ref="E46:E51" si="22">ROW(E46)</f>
        <v>46</v>
      </c>
      <c r="F46" s="9" t="s">
        <v>147</v>
      </c>
      <c r="G46" s="22">
        <v>10</v>
      </c>
      <c r="H46" s="22">
        <v>1</v>
      </c>
      <c r="K46" s="9" t="s">
        <v>151</v>
      </c>
      <c r="L46" s="9" t="s">
        <v>151</v>
      </c>
      <c r="M46" s="22">
        <f>$J$10+D45</f>
        <v>905</v>
      </c>
    </row>
    <row r="47" spans="1:13">
      <c r="A47" s="9" t="s">
        <v>151</v>
      </c>
      <c r="B47" s="9" t="s">
        <v>151</v>
      </c>
      <c r="E47" s="22">
        <f t="shared" si="22"/>
        <v>47</v>
      </c>
      <c r="F47" s="9" t="s">
        <v>29</v>
      </c>
      <c r="K47" s="9" t="s">
        <v>151</v>
      </c>
      <c r="L47" s="9" t="s">
        <v>151</v>
      </c>
      <c r="M47" s="22" t="s">
        <v>147</v>
      </c>
    </row>
    <row r="48" spans="1:13">
      <c r="A48" s="9" t="s">
        <v>151</v>
      </c>
      <c r="B48" s="9" t="s">
        <v>151</v>
      </c>
      <c r="E48" s="22">
        <f t="shared" si="22"/>
        <v>48</v>
      </c>
      <c r="F48" s="9" t="s">
        <v>98</v>
      </c>
      <c r="K48" s="9" t="s">
        <v>137</v>
      </c>
      <c r="L48" s="9" t="s">
        <v>151</v>
      </c>
      <c r="M48" s="22">
        <v>2</v>
      </c>
    </row>
    <row r="49" spans="1:13">
      <c r="A49" s="9" t="s">
        <v>151</v>
      </c>
      <c r="B49" s="9" t="s">
        <v>151</v>
      </c>
      <c r="E49" s="22">
        <f t="shared" si="22"/>
        <v>49</v>
      </c>
      <c r="F49" s="9" t="s">
        <v>146</v>
      </c>
      <c r="G49" s="22">
        <f t="shared" ref="G49" ca="1" si="23">RANDBETWEEN(-10,10)/10</f>
        <v>0.4</v>
      </c>
      <c r="H49" s="22">
        <f t="shared" ref="H49" ca="1" si="24">RANDBETWEEN(-5,5)/10</f>
        <v>-0.2</v>
      </c>
      <c r="K49" s="9" t="s">
        <v>136</v>
      </c>
      <c r="L49" s="9" t="s">
        <v>151</v>
      </c>
      <c r="M49" s="22" t="str">
        <f t="shared" ref="M49" ca="1" si="25">CONCATENATE(G49,",",H49)</f>
        <v>0.4,-0.2</v>
      </c>
    </row>
    <row r="50" spans="1:13">
      <c r="A50" s="9" t="s">
        <v>151</v>
      </c>
      <c r="B50" s="9" t="s">
        <v>151</v>
      </c>
      <c r="E50" s="22">
        <f t="shared" si="22"/>
        <v>50</v>
      </c>
      <c r="F50" s="9" t="s">
        <v>30</v>
      </c>
      <c r="K50" s="9" t="s">
        <v>151</v>
      </c>
      <c r="L50" s="9" t="s">
        <v>151</v>
      </c>
      <c r="M50" s="22">
        <v>-1</v>
      </c>
    </row>
    <row r="51" spans="1:13">
      <c r="A51" s="9" t="s">
        <v>151</v>
      </c>
      <c r="B51" s="9" t="s">
        <v>151</v>
      </c>
      <c r="E51" s="22">
        <f t="shared" si="22"/>
        <v>51</v>
      </c>
      <c r="F51" s="9" t="s">
        <v>115</v>
      </c>
      <c r="K51" s="9" t="s">
        <v>151</v>
      </c>
      <c r="L51" s="9" t="s">
        <v>151</v>
      </c>
      <c r="M51" s="22">
        <v>2</v>
      </c>
    </row>
    <row r="52" spans="1:13">
      <c r="A52" s="9" t="s">
        <v>151</v>
      </c>
      <c r="B52" s="9" t="s">
        <v>151</v>
      </c>
      <c r="E52" s="22">
        <f t="shared" si="4"/>
        <v>52</v>
      </c>
      <c r="F52" s="9" t="s">
        <v>109</v>
      </c>
      <c r="K52" s="9" t="s">
        <v>151</v>
      </c>
      <c r="L52" s="9" t="s">
        <v>151</v>
      </c>
      <c r="M52" s="22">
        <v>2</v>
      </c>
    </row>
    <row r="53" spans="1:13">
      <c r="A53" s="9" t="s">
        <v>151</v>
      </c>
      <c r="B53" s="9" t="s">
        <v>151</v>
      </c>
      <c r="E53" s="22">
        <f t="shared" si="4"/>
        <v>53</v>
      </c>
      <c r="F53" s="9" t="s">
        <v>31</v>
      </c>
      <c r="G53" s="24"/>
      <c r="H53" s="24"/>
      <c r="K53" s="9" t="s">
        <v>151</v>
      </c>
      <c r="L53" s="9" t="s">
        <v>134</v>
      </c>
      <c r="M53" s="22">
        <v>270</v>
      </c>
    </row>
    <row r="54" spans="1:13">
      <c r="A54" s="9" t="s">
        <v>151</v>
      </c>
      <c r="B54" s="9">
        <f t="shared" ref="B54" si="26">QUOTIENT( D54-1,G55)+1</f>
        <v>1</v>
      </c>
      <c r="C54" s="22">
        <f t="shared" ref="C54" si="27">D54-(B54-1)*G55</f>
        <v>6</v>
      </c>
      <c r="D54" s="22">
        <f>COUNT($D$8:$D53)+1</f>
        <v>6</v>
      </c>
      <c r="F54" s="9" t="s">
        <v>151</v>
      </c>
      <c r="K54" s="9" t="s">
        <v>151</v>
      </c>
      <c r="L54" s="9" t="s">
        <v>151</v>
      </c>
    </row>
    <row r="55" spans="1:13">
      <c r="A55" s="9" t="s">
        <v>151</v>
      </c>
      <c r="B55" s="9" t="s">
        <v>151</v>
      </c>
      <c r="E55" s="22">
        <f t="shared" ref="E55:E60" si="28">ROW(E55)</f>
        <v>55</v>
      </c>
      <c r="F55" s="9" t="s">
        <v>147</v>
      </c>
      <c r="G55" s="22">
        <v>10</v>
      </c>
      <c r="H55" s="22">
        <v>1</v>
      </c>
      <c r="K55" s="9" t="s">
        <v>151</v>
      </c>
      <c r="L55" s="9" t="s">
        <v>151</v>
      </c>
      <c r="M55" s="22">
        <f>$J$10+D54</f>
        <v>906</v>
      </c>
    </row>
    <row r="56" spans="1:13">
      <c r="A56" s="9" t="s">
        <v>151</v>
      </c>
      <c r="B56" s="9" t="s">
        <v>151</v>
      </c>
      <c r="E56" s="22">
        <f t="shared" si="28"/>
        <v>56</v>
      </c>
      <c r="F56" s="9" t="s">
        <v>29</v>
      </c>
      <c r="K56" s="9" t="s">
        <v>151</v>
      </c>
      <c r="L56" s="9" t="s">
        <v>151</v>
      </c>
      <c r="M56" s="22" t="s">
        <v>147</v>
      </c>
    </row>
    <row r="57" spans="1:13">
      <c r="A57" s="9" t="s">
        <v>151</v>
      </c>
      <c r="B57" s="9" t="s">
        <v>151</v>
      </c>
      <c r="E57" s="22">
        <f t="shared" si="28"/>
        <v>57</v>
      </c>
      <c r="F57" s="9" t="s">
        <v>98</v>
      </c>
      <c r="K57" s="9" t="s">
        <v>137</v>
      </c>
      <c r="L57" s="9" t="s">
        <v>151</v>
      </c>
      <c r="M57" s="22">
        <v>2</v>
      </c>
    </row>
    <row r="58" spans="1:13">
      <c r="A58" s="9" t="s">
        <v>151</v>
      </c>
      <c r="B58" s="9" t="s">
        <v>151</v>
      </c>
      <c r="E58" s="22">
        <f t="shared" si="28"/>
        <v>58</v>
      </c>
      <c r="F58" s="9" t="s">
        <v>146</v>
      </c>
      <c r="G58" s="22">
        <f t="shared" ref="G58" ca="1" si="29">RANDBETWEEN(-10,10)/10</f>
        <v>0.9</v>
      </c>
      <c r="H58" s="22">
        <f t="shared" ref="H58" ca="1" si="30">RANDBETWEEN(-5,5)/10</f>
        <v>-0.5</v>
      </c>
      <c r="K58" s="9" t="s">
        <v>136</v>
      </c>
      <c r="L58" s="9" t="s">
        <v>151</v>
      </c>
      <c r="M58" s="22" t="str">
        <f t="shared" ref="M58" ca="1" si="31">CONCATENATE(G58,",",H58)</f>
        <v>0.9,-0.5</v>
      </c>
    </row>
    <row r="59" spans="1:13">
      <c r="A59" s="9" t="s">
        <v>151</v>
      </c>
      <c r="B59" s="9" t="s">
        <v>151</v>
      </c>
      <c r="E59" s="22">
        <f t="shared" si="28"/>
        <v>59</v>
      </c>
      <c r="F59" s="9" t="s">
        <v>30</v>
      </c>
      <c r="K59" s="9" t="s">
        <v>151</v>
      </c>
      <c r="L59" s="9" t="s">
        <v>151</v>
      </c>
      <c r="M59" s="22">
        <v>-1</v>
      </c>
    </row>
    <row r="60" spans="1:13">
      <c r="A60" s="9" t="s">
        <v>151</v>
      </c>
      <c r="B60" s="9" t="s">
        <v>151</v>
      </c>
      <c r="E60" s="22">
        <f t="shared" si="28"/>
        <v>60</v>
      </c>
      <c r="F60" s="9" t="s">
        <v>115</v>
      </c>
      <c r="K60" s="9" t="s">
        <v>151</v>
      </c>
      <c r="L60" s="9" t="s">
        <v>151</v>
      </c>
      <c r="M60" s="22">
        <v>2</v>
      </c>
    </row>
    <row r="61" spans="1:13">
      <c r="A61" s="9" t="s">
        <v>151</v>
      </c>
      <c r="B61" s="9" t="s">
        <v>151</v>
      </c>
      <c r="E61" s="22">
        <f t="shared" si="4"/>
        <v>61</v>
      </c>
      <c r="F61" s="9" t="s">
        <v>109</v>
      </c>
      <c r="K61" s="9" t="s">
        <v>151</v>
      </c>
      <c r="L61" s="9" t="s">
        <v>151</v>
      </c>
      <c r="M61" s="22">
        <v>2</v>
      </c>
    </row>
    <row r="62" spans="1:13">
      <c r="A62" s="9" t="s">
        <v>151</v>
      </c>
      <c r="B62" s="9" t="s">
        <v>151</v>
      </c>
      <c r="E62" s="22">
        <f t="shared" si="4"/>
        <v>62</v>
      </c>
      <c r="F62" s="9" t="s">
        <v>31</v>
      </c>
      <c r="K62" s="9" t="s">
        <v>151</v>
      </c>
      <c r="L62" s="9" t="s">
        <v>134</v>
      </c>
      <c r="M62" s="22">
        <v>270</v>
      </c>
    </row>
    <row r="63" spans="1:13">
      <c r="A63" s="9" t="s">
        <v>151</v>
      </c>
      <c r="B63" s="9">
        <f t="shared" ref="B63" si="32">QUOTIENT( D63-1,G64)+1</f>
        <v>1</v>
      </c>
      <c r="C63" s="22">
        <f t="shared" ref="C63" si="33">D63-(B63-1)*G64</f>
        <v>7</v>
      </c>
      <c r="D63" s="22">
        <f>COUNT($D$8:$D62)+1</f>
        <v>7</v>
      </c>
      <c r="F63" s="9" t="s">
        <v>151</v>
      </c>
      <c r="K63" s="9" t="s">
        <v>151</v>
      </c>
      <c r="L63" s="9" t="s">
        <v>151</v>
      </c>
    </row>
    <row r="64" spans="1:13">
      <c r="A64" s="9" t="s">
        <v>151</v>
      </c>
      <c r="B64" s="9" t="s">
        <v>151</v>
      </c>
      <c r="E64" s="22">
        <f t="shared" ref="E64:E69" si="34">ROW(E64)</f>
        <v>64</v>
      </c>
      <c r="F64" s="9" t="s">
        <v>147</v>
      </c>
      <c r="G64" s="22">
        <v>10</v>
      </c>
      <c r="H64" s="22">
        <v>1</v>
      </c>
      <c r="K64" s="9" t="s">
        <v>151</v>
      </c>
      <c r="L64" s="9" t="s">
        <v>151</v>
      </c>
      <c r="M64" s="22">
        <f>$J$10+D63</f>
        <v>907</v>
      </c>
    </row>
    <row r="65" spans="1:13">
      <c r="A65" s="9" t="s">
        <v>151</v>
      </c>
      <c r="B65" s="9" t="s">
        <v>151</v>
      </c>
      <c r="E65" s="22">
        <f t="shared" si="34"/>
        <v>65</v>
      </c>
      <c r="F65" s="9" t="s">
        <v>29</v>
      </c>
      <c r="K65" s="9" t="s">
        <v>151</v>
      </c>
      <c r="L65" s="9" t="s">
        <v>151</v>
      </c>
      <c r="M65" s="22" t="s">
        <v>147</v>
      </c>
    </row>
    <row r="66" spans="1:13">
      <c r="A66" s="9" t="s">
        <v>151</v>
      </c>
      <c r="B66" s="9" t="s">
        <v>151</v>
      </c>
      <c r="E66" s="22">
        <f t="shared" si="34"/>
        <v>66</v>
      </c>
      <c r="F66" s="9" t="s">
        <v>98</v>
      </c>
      <c r="K66" s="9" t="s">
        <v>137</v>
      </c>
      <c r="L66" s="9" t="s">
        <v>151</v>
      </c>
      <c r="M66" s="22">
        <v>2</v>
      </c>
    </row>
    <row r="67" spans="1:13">
      <c r="A67" s="9" t="s">
        <v>151</v>
      </c>
      <c r="B67" s="9" t="s">
        <v>151</v>
      </c>
      <c r="E67" s="22">
        <f t="shared" si="34"/>
        <v>67</v>
      </c>
      <c r="F67" s="9" t="s">
        <v>146</v>
      </c>
      <c r="G67" s="22">
        <f t="shared" ref="G67" ca="1" si="35">RANDBETWEEN(-10,10)/10</f>
        <v>-0.2</v>
      </c>
      <c r="H67" s="22">
        <f t="shared" ref="H67" ca="1" si="36">RANDBETWEEN(-5,5)/10</f>
        <v>-0.2</v>
      </c>
      <c r="K67" s="9" t="s">
        <v>136</v>
      </c>
      <c r="L67" s="9" t="s">
        <v>151</v>
      </c>
      <c r="M67" s="22" t="str">
        <f t="shared" ref="M67" ca="1" si="37">CONCATENATE(G67,",",H67)</f>
        <v>-0.2,-0.2</v>
      </c>
    </row>
    <row r="68" spans="1:13">
      <c r="A68" s="9" t="s">
        <v>151</v>
      </c>
      <c r="B68" s="9" t="s">
        <v>151</v>
      </c>
      <c r="E68" s="22">
        <f t="shared" si="34"/>
        <v>68</v>
      </c>
      <c r="F68" s="9" t="s">
        <v>30</v>
      </c>
      <c r="K68" s="9" t="s">
        <v>151</v>
      </c>
      <c r="L68" s="9" t="s">
        <v>151</v>
      </c>
      <c r="M68" s="22">
        <v>-1</v>
      </c>
    </row>
    <row r="69" spans="1:13">
      <c r="A69" s="9" t="s">
        <v>151</v>
      </c>
      <c r="B69" s="9" t="s">
        <v>151</v>
      </c>
      <c r="E69" s="22">
        <f t="shared" si="34"/>
        <v>69</v>
      </c>
      <c r="F69" s="9" t="s">
        <v>115</v>
      </c>
      <c r="K69" s="9" t="s">
        <v>151</v>
      </c>
      <c r="L69" s="9" t="s">
        <v>151</v>
      </c>
      <c r="M69" s="22">
        <v>2</v>
      </c>
    </row>
    <row r="70" spans="1:13">
      <c r="A70" s="9" t="s">
        <v>151</v>
      </c>
      <c r="B70" s="9" t="s">
        <v>151</v>
      </c>
      <c r="E70" s="22">
        <f t="shared" si="4"/>
        <v>70</v>
      </c>
      <c r="F70" s="9" t="s">
        <v>109</v>
      </c>
      <c r="K70" s="9" t="s">
        <v>151</v>
      </c>
      <c r="L70" s="9" t="s">
        <v>151</v>
      </c>
      <c r="M70" s="22">
        <v>2</v>
      </c>
    </row>
    <row r="71" spans="1:13">
      <c r="A71" s="9" t="s">
        <v>151</v>
      </c>
      <c r="B71" s="9" t="s">
        <v>151</v>
      </c>
      <c r="E71" s="22">
        <f t="shared" si="4"/>
        <v>71</v>
      </c>
      <c r="F71" s="9" t="s">
        <v>31</v>
      </c>
      <c r="K71" s="9" t="s">
        <v>151</v>
      </c>
      <c r="L71" s="9" t="s">
        <v>134</v>
      </c>
      <c r="M71" s="22">
        <v>270</v>
      </c>
    </row>
    <row r="72" spans="1:13">
      <c r="A72" s="9" t="s">
        <v>151</v>
      </c>
      <c r="B72" s="9">
        <f t="shared" ref="B72" si="38">QUOTIENT( D72-1,G73)+1</f>
        <v>1</v>
      </c>
      <c r="C72" s="22">
        <f t="shared" ref="C72" si="39">D72-(B72-1)*G73</f>
        <v>8</v>
      </c>
      <c r="D72" s="22">
        <f>COUNT($D$8:$D71)+1</f>
        <v>8</v>
      </c>
      <c r="F72" s="9" t="s">
        <v>151</v>
      </c>
      <c r="K72" s="9" t="s">
        <v>151</v>
      </c>
      <c r="L72" s="9" t="s">
        <v>151</v>
      </c>
    </row>
    <row r="73" spans="1:13">
      <c r="A73" s="9" t="s">
        <v>151</v>
      </c>
      <c r="B73" s="9" t="s">
        <v>151</v>
      </c>
      <c r="E73" s="22">
        <f t="shared" ref="E73:E78" si="40">ROW(E73)</f>
        <v>73</v>
      </c>
      <c r="F73" s="9" t="s">
        <v>147</v>
      </c>
      <c r="G73" s="22">
        <v>10</v>
      </c>
      <c r="H73" s="22">
        <v>1</v>
      </c>
      <c r="K73" s="9" t="s">
        <v>151</v>
      </c>
      <c r="L73" s="9" t="s">
        <v>151</v>
      </c>
      <c r="M73" s="22">
        <f>$J$10+D72</f>
        <v>908</v>
      </c>
    </row>
    <row r="74" spans="1:13">
      <c r="A74" s="9" t="s">
        <v>151</v>
      </c>
      <c r="B74" s="9" t="s">
        <v>151</v>
      </c>
      <c r="E74" s="22">
        <f t="shared" si="40"/>
        <v>74</v>
      </c>
      <c r="F74" s="9" t="s">
        <v>29</v>
      </c>
      <c r="K74" s="9" t="s">
        <v>151</v>
      </c>
      <c r="L74" s="9" t="s">
        <v>151</v>
      </c>
      <c r="M74" s="22" t="s">
        <v>147</v>
      </c>
    </row>
    <row r="75" spans="1:13">
      <c r="A75" s="9" t="s">
        <v>151</v>
      </c>
      <c r="B75" s="9" t="s">
        <v>151</v>
      </c>
      <c r="E75" s="22">
        <f t="shared" si="40"/>
        <v>75</v>
      </c>
      <c r="F75" s="9" t="s">
        <v>98</v>
      </c>
      <c r="K75" s="9" t="s">
        <v>137</v>
      </c>
      <c r="L75" s="9" t="s">
        <v>151</v>
      </c>
      <c r="M75" s="22">
        <v>2</v>
      </c>
    </row>
    <row r="76" spans="1:13">
      <c r="A76" s="9" t="s">
        <v>151</v>
      </c>
      <c r="B76" s="9" t="s">
        <v>151</v>
      </c>
      <c r="E76" s="22">
        <f t="shared" si="40"/>
        <v>76</v>
      </c>
      <c r="F76" s="9" t="s">
        <v>146</v>
      </c>
      <c r="G76" s="22">
        <f t="shared" ref="G76" ca="1" si="41">RANDBETWEEN(-10,10)/10</f>
        <v>0.9</v>
      </c>
      <c r="H76" s="22">
        <f t="shared" ref="H76" ca="1" si="42">RANDBETWEEN(-5,5)/10</f>
        <v>-0.5</v>
      </c>
      <c r="K76" s="9" t="s">
        <v>136</v>
      </c>
      <c r="L76" s="9" t="s">
        <v>151</v>
      </c>
      <c r="M76" s="22" t="str">
        <f t="shared" ref="M76" ca="1" si="43">CONCATENATE(G76,",",H76)</f>
        <v>0.9,-0.5</v>
      </c>
    </row>
    <row r="77" spans="1:13">
      <c r="A77" s="9" t="s">
        <v>151</v>
      </c>
      <c r="B77" s="9" t="s">
        <v>151</v>
      </c>
      <c r="E77" s="22">
        <f t="shared" si="40"/>
        <v>77</v>
      </c>
      <c r="F77" s="9" t="s">
        <v>30</v>
      </c>
      <c r="K77" s="9" t="s">
        <v>151</v>
      </c>
      <c r="L77" s="9" t="s">
        <v>151</v>
      </c>
      <c r="M77" s="22">
        <v>-1</v>
      </c>
    </row>
    <row r="78" spans="1:13">
      <c r="A78" s="9" t="s">
        <v>151</v>
      </c>
      <c r="B78" s="9" t="s">
        <v>151</v>
      </c>
      <c r="E78" s="22">
        <f t="shared" si="40"/>
        <v>78</v>
      </c>
      <c r="F78" s="9" t="s">
        <v>115</v>
      </c>
      <c r="K78" s="9" t="s">
        <v>151</v>
      </c>
      <c r="L78" s="9" t="s">
        <v>151</v>
      </c>
      <c r="M78" s="22">
        <v>2</v>
      </c>
    </row>
    <row r="79" spans="1:13">
      <c r="A79" s="9" t="s">
        <v>151</v>
      </c>
      <c r="B79" s="9" t="s">
        <v>151</v>
      </c>
      <c r="E79" s="22">
        <f t="shared" si="4"/>
        <v>79</v>
      </c>
      <c r="F79" s="9" t="s">
        <v>109</v>
      </c>
      <c r="K79" s="9" t="s">
        <v>151</v>
      </c>
      <c r="L79" s="9" t="s">
        <v>151</v>
      </c>
      <c r="M79" s="22">
        <v>2</v>
      </c>
    </row>
    <row r="80" spans="1:13">
      <c r="A80" s="9" t="s">
        <v>151</v>
      </c>
      <c r="B80" s="9" t="s">
        <v>151</v>
      </c>
      <c r="E80" s="22">
        <f t="shared" si="4"/>
        <v>80</v>
      </c>
      <c r="F80" s="9" t="s">
        <v>31</v>
      </c>
      <c r="K80" s="9" t="s">
        <v>151</v>
      </c>
      <c r="L80" s="9" t="s">
        <v>134</v>
      </c>
      <c r="M80" s="22">
        <v>270</v>
      </c>
    </row>
    <row r="81" spans="1:13">
      <c r="A81" s="9" t="s">
        <v>151</v>
      </c>
      <c r="B81" s="9">
        <f t="shared" ref="B81" si="44">QUOTIENT( D81-1,G82)+1</f>
        <v>1</v>
      </c>
      <c r="C81" s="22">
        <f t="shared" ref="C81" si="45">D81-(B81-1)*G82</f>
        <v>9</v>
      </c>
      <c r="D81" s="22">
        <f>COUNT($D$8:$D80)+1</f>
        <v>9</v>
      </c>
      <c r="F81" s="9" t="s">
        <v>151</v>
      </c>
      <c r="G81" s="24"/>
      <c r="H81" s="24"/>
      <c r="K81" s="9" t="s">
        <v>151</v>
      </c>
      <c r="L81" s="9" t="s">
        <v>151</v>
      </c>
    </row>
    <row r="82" spans="1:13">
      <c r="A82" s="9" t="s">
        <v>151</v>
      </c>
      <c r="B82" s="9" t="s">
        <v>151</v>
      </c>
      <c r="E82" s="22">
        <f t="shared" ref="E82:E98" si="46">ROW(E82)</f>
        <v>82</v>
      </c>
      <c r="F82" s="9" t="s">
        <v>147</v>
      </c>
      <c r="G82" s="22">
        <v>10</v>
      </c>
      <c r="H82" s="22">
        <v>1</v>
      </c>
      <c r="K82" s="9" t="s">
        <v>151</v>
      </c>
      <c r="L82" s="9" t="s">
        <v>151</v>
      </c>
      <c r="M82" s="22">
        <f>$J$10+D81</f>
        <v>909</v>
      </c>
    </row>
    <row r="83" spans="1:13">
      <c r="A83" s="9" t="s">
        <v>151</v>
      </c>
      <c r="B83" s="9" t="s">
        <v>151</v>
      </c>
      <c r="E83" s="22">
        <f t="shared" si="46"/>
        <v>83</v>
      </c>
      <c r="F83" s="9" t="s">
        <v>29</v>
      </c>
      <c r="K83" s="9" t="s">
        <v>151</v>
      </c>
      <c r="L83" s="9" t="s">
        <v>151</v>
      </c>
      <c r="M83" s="22" t="s">
        <v>147</v>
      </c>
    </row>
    <row r="84" spans="1:13">
      <c r="A84" s="9" t="s">
        <v>151</v>
      </c>
      <c r="B84" s="9" t="s">
        <v>151</v>
      </c>
      <c r="E84" s="22">
        <f t="shared" si="46"/>
        <v>84</v>
      </c>
      <c r="F84" s="9" t="s">
        <v>98</v>
      </c>
      <c r="K84" s="9" t="s">
        <v>137</v>
      </c>
      <c r="L84" s="9" t="s">
        <v>151</v>
      </c>
      <c r="M84" s="22">
        <v>2</v>
      </c>
    </row>
    <row r="85" spans="1:13">
      <c r="A85" s="9" t="s">
        <v>151</v>
      </c>
      <c r="B85" s="9" t="s">
        <v>151</v>
      </c>
      <c r="E85" s="22">
        <f t="shared" si="46"/>
        <v>85</v>
      </c>
      <c r="F85" s="9" t="s">
        <v>146</v>
      </c>
      <c r="G85" s="22">
        <f t="shared" ref="G85" ca="1" si="47">RANDBETWEEN(-10,10)/10</f>
        <v>0.9</v>
      </c>
      <c r="H85" s="22">
        <f t="shared" ref="H85" ca="1" si="48">RANDBETWEEN(-5,5)/10</f>
        <v>0.4</v>
      </c>
      <c r="K85" s="9" t="s">
        <v>136</v>
      </c>
      <c r="L85" s="9" t="s">
        <v>151</v>
      </c>
      <c r="M85" s="22" t="str">
        <f t="shared" ref="M85" ca="1" si="49">CONCATENATE(G85,",",H85)</f>
        <v>0.9,0.4</v>
      </c>
    </row>
    <row r="86" spans="1:13">
      <c r="A86" s="9" t="s">
        <v>151</v>
      </c>
      <c r="B86" s="9" t="s">
        <v>151</v>
      </c>
      <c r="E86" s="22">
        <f t="shared" si="46"/>
        <v>86</v>
      </c>
      <c r="F86" s="9" t="s">
        <v>30</v>
      </c>
      <c r="K86" s="9" t="s">
        <v>151</v>
      </c>
      <c r="L86" s="9" t="s">
        <v>151</v>
      </c>
      <c r="M86" s="22">
        <v>-1</v>
      </c>
    </row>
    <row r="87" spans="1:13">
      <c r="A87" s="9" t="s">
        <v>151</v>
      </c>
      <c r="B87" s="9" t="s">
        <v>151</v>
      </c>
      <c r="E87" s="22">
        <f t="shared" si="46"/>
        <v>87</v>
      </c>
      <c r="F87" s="9" t="s">
        <v>115</v>
      </c>
      <c r="K87" s="9" t="s">
        <v>151</v>
      </c>
      <c r="L87" s="9" t="s">
        <v>151</v>
      </c>
      <c r="M87" s="22">
        <v>2</v>
      </c>
    </row>
    <row r="88" spans="1:13">
      <c r="A88" s="9" t="s">
        <v>151</v>
      </c>
      <c r="B88" s="9" t="s">
        <v>151</v>
      </c>
      <c r="E88" s="22">
        <f t="shared" si="46"/>
        <v>88</v>
      </c>
      <c r="F88" s="9" t="s">
        <v>109</v>
      </c>
      <c r="K88" s="9" t="s">
        <v>151</v>
      </c>
      <c r="L88" s="9" t="s">
        <v>151</v>
      </c>
      <c r="M88" s="22">
        <v>2</v>
      </c>
    </row>
    <row r="89" spans="1:13">
      <c r="A89" s="9" t="s">
        <v>151</v>
      </c>
      <c r="B89" s="9" t="s">
        <v>151</v>
      </c>
      <c r="E89" s="22">
        <f t="shared" si="46"/>
        <v>89</v>
      </c>
      <c r="F89" s="9" t="s">
        <v>31</v>
      </c>
      <c r="K89" s="9" t="s">
        <v>151</v>
      </c>
      <c r="L89" s="9" t="s">
        <v>134</v>
      </c>
      <c r="M89" s="22">
        <v>270</v>
      </c>
    </row>
    <row r="90" spans="1:13">
      <c r="A90" s="9" t="s">
        <v>151</v>
      </c>
      <c r="B90" s="9">
        <f t="shared" ref="B90" si="50">QUOTIENT( D90-1,G91)+1</f>
        <v>1</v>
      </c>
      <c r="C90" s="22">
        <f t="shared" ref="C90" si="51">D90-(B90-1)*G91</f>
        <v>10</v>
      </c>
      <c r="D90" s="22">
        <f>COUNT($D$8:$D89)+1</f>
        <v>10</v>
      </c>
      <c r="F90" s="9" t="s">
        <v>151</v>
      </c>
      <c r="K90" s="9" t="s">
        <v>151</v>
      </c>
      <c r="L90" s="9" t="s">
        <v>151</v>
      </c>
    </row>
    <row r="91" spans="1:13">
      <c r="A91" s="9" t="s">
        <v>151</v>
      </c>
      <c r="B91" s="9" t="s">
        <v>151</v>
      </c>
      <c r="E91" s="22">
        <f t="shared" ref="E91:E96" si="52">ROW(E91)</f>
        <v>91</v>
      </c>
      <c r="F91" s="9" t="s">
        <v>147</v>
      </c>
      <c r="G91" s="22">
        <v>10</v>
      </c>
      <c r="H91" s="22">
        <v>1</v>
      </c>
      <c r="K91" s="9" t="s">
        <v>151</v>
      </c>
      <c r="L91" s="9" t="s">
        <v>151</v>
      </c>
      <c r="M91" s="22">
        <f>$J$10+D90</f>
        <v>910</v>
      </c>
    </row>
    <row r="92" spans="1:13">
      <c r="A92" s="9" t="s">
        <v>151</v>
      </c>
      <c r="B92" s="9" t="s">
        <v>151</v>
      </c>
      <c r="E92" s="22">
        <f t="shared" si="52"/>
        <v>92</v>
      </c>
      <c r="F92" s="9" t="s">
        <v>29</v>
      </c>
      <c r="K92" s="9" t="s">
        <v>151</v>
      </c>
      <c r="L92" s="9" t="s">
        <v>151</v>
      </c>
      <c r="M92" s="22" t="s">
        <v>147</v>
      </c>
    </row>
    <row r="93" spans="1:13">
      <c r="A93" s="9" t="s">
        <v>151</v>
      </c>
      <c r="B93" s="9" t="s">
        <v>151</v>
      </c>
      <c r="E93" s="22">
        <f t="shared" si="52"/>
        <v>93</v>
      </c>
      <c r="F93" s="9" t="s">
        <v>98</v>
      </c>
      <c r="K93" s="9" t="s">
        <v>137</v>
      </c>
      <c r="L93" s="9" t="s">
        <v>151</v>
      </c>
      <c r="M93" s="22">
        <v>2</v>
      </c>
    </row>
    <row r="94" spans="1:13">
      <c r="A94" s="9" t="s">
        <v>151</v>
      </c>
      <c r="B94" s="9" t="s">
        <v>151</v>
      </c>
      <c r="E94" s="22">
        <f t="shared" si="52"/>
        <v>94</v>
      </c>
      <c r="F94" s="9" t="s">
        <v>146</v>
      </c>
      <c r="G94" s="22">
        <f t="shared" ref="G94" ca="1" si="53">RANDBETWEEN(-10,10)/10</f>
        <v>-0.5</v>
      </c>
      <c r="H94" s="22">
        <f t="shared" ref="H94" ca="1" si="54">RANDBETWEEN(-5,5)/10</f>
        <v>-0.4</v>
      </c>
      <c r="K94" s="9" t="s">
        <v>136</v>
      </c>
      <c r="L94" s="9" t="s">
        <v>151</v>
      </c>
      <c r="M94" s="22" t="str">
        <f t="shared" ref="M94" ca="1" si="55">CONCATENATE(G94,",",H94)</f>
        <v>-0.5,-0.4</v>
      </c>
    </row>
    <row r="95" spans="1:13">
      <c r="A95" s="9" t="s">
        <v>151</v>
      </c>
      <c r="B95" s="9" t="s">
        <v>151</v>
      </c>
      <c r="E95" s="22">
        <f t="shared" si="52"/>
        <v>95</v>
      </c>
      <c r="F95" s="9" t="s">
        <v>30</v>
      </c>
      <c r="K95" s="9" t="s">
        <v>151</v>
      </c>
      <c r="L95" s="9" t="s">
        <v>151</v>
      </c>
      <c r="M95" s="22">
        <v>-1</v>
      </c>
    </row>
    <row r="96" spans="1:13">
      <c r="A96" s="9" t="s">
        <v>151</v>
      </c>
      <c r="B96" s="9" t="s">
        <v>151</v>
      </c>
      <c r="E96" s="22">
        <f t="shared" si="52"/>
        <v>96</v>
      </c>
      <c r="F96" s="9" t="s">
        <v>115</v>
      </c>
      <c r="K96" s="9" t="s">
        <v>151</v>
      </c>
      <c r="L96" s="9" t="s">
        <v>151</v>
      </c>
      <c r="M96" s="22">
        <v>2</v>
      </c>
    </row>
    <row r="97" spans="1:13">
      <c r="A97" s="9" t="s">
        <v>151</v>
      </c>
      <c r="B97" s="9" t="s">
        <v>151</v>
      </c>
      <c r="E97" s="22">
        <f t="shared" si="46"/>
        <v>97</v>
      </c>
      <c r="F97" s="9" t="s">
        <v>109</v>
      </c>
      <c r="K97" s="9" t="s">
        <v>151</v>
      </c>
      <c r="L97" s="9" t="s">
        <v>151</v>
      </c>
      <c r="M97" s="22">
        <v>2</v>
      </c>
    </row>
    <row r="98" spans="1:13">
      <c r="A98" s="9" t="s">
        <v>151</v>
      </c>
      <c r="B98" s="9" t="s">
        <v>151</v>
      </c>
      <c r="E98" s="22">
        <f t="shared" si="46"/>
        <v>98</v>
      </c>
      <c r="F98" s="9" t="s">
        <v>31</v>
      </c>
      <c r="K98" s="9" t="s">
        <v>151</v>
      </c>
      <c r="L98" s="9" t="s">
        <v>134</v>
      </c>
      <c r="M98" s="22">
        <v>270</v>
      </c>
    </row>
    <row r="109" spans="1:13">
      <c r="G109" s="24"/>
      <c r="H109" s="24"/>
    </row>
    <row r="137" spans="7:8">
      <c r="G137" s="24"/>
      <c r="H137" s="24"/>
    </row>
    <row r="165" spans="7:8">
      <c r="G165" s="24"/>
      <c r="H165" s="24"/>
    </row>
    <row r="193" spans="7:8">
      <c r="G193" s="24"/>
      <c r="H193" s="24"/>
    </row>
    <row r="221" spans="7:8">
      <c r="G221" s="24"/>
      <c r="H221" s="24"/>
    </row>
    <row r="249" spans="7:8">
      <c r="G249" s="24"/>
      <c r="H249" s="24"/>
    </row>
  </sheetData>
  <autoFilter ref="D1:D9" xr:uid="{00000000-0001-0000-0000-000000000000}"/>
  <phoneticPr fontId="2" type="noConversion"/>
  <conditionalFormatting sqref="N1:BD1">
    <cfRule type="duplicateValues" dxfId="49" priority="523"/>
  </conditionalFormatting>
  <conditionalFormatting sqref="BE1:XFD1 E1:I1">
    <cfRule type="duplicateValues" dxfId="48" priority="603"/>
  </conditionalFormatting>
  <conditionalFormatting sqref="F1:F270">
    <cfRule type="cellIs" dxfId="47" priority="104" operator="equal">
      <formula>"ID"</formula>
    </cfRule>
    <cfRule type="cellIs" dxfId="46" priority="519" operator="equal">
      <formula>"行動序號"</formula>
    </cfRule>
  </conditionalFormatting>
  <conditionalFormatting sqref="J1">
    <cfRule type="duplicateValues" dxfId="45" priority="102"/>
  </conditionalFormatting>
  <conditionalFormatting sqref="K1:L1">
    <cfRule type="duplicateValues" dxfId="44" priority="99"/>
  </conditionalFormatting>
  <conditionalFormatting sqref="M1:M1048576">
    <cfRule type="expression" dxfId="43" priority="95">
      <formula>OR($F1="行動序號",$F1="ID")</formula>
    </cfRule>
  </conditionalFormatting>
  <conditionalFormatting sqref="M1:M1048576">
    <cfRule type="expression" dxfId="42" priority="4">
      <formula>$F1="行動ID"</formula>
    </cfRule>
  </conditionalFormatting>
  <conditionalFormatting sqref="M1:M1048576 J10">
    <cfRule type="expression" dxfId="41" priority="3">
      <formula>_xlfn.ISFORMULA(J1)</formula>
    </cfRule>
  </conditionalFormatting>
  <conditionalFormatting sqref="J10">
    <cfRule type="expression" dxfId="40" priority="607">
      <formula>OR(#REF!="行動序號",#REF!="ID")</formula>
    </cfRule>
  </conditionalFormatting>
  <conditionalFormatting sqref="J10">
    <cfRule type="expression" dxfId="39" priority="609">
      <formula>#REF!="行動ID"</formula>
    </cfRule>
  </conditionalFormatting>
  <dataValidations count="1">
    <dataValidation type="list" allowBlank="1" showInputMessage="1" showErrorMessage="1" sqref="L5 K112 L12 J6 L13 F12 L19 K15 K11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3D566-2388-4D43-96ED-D00086750FA0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143</v>
      </c>
      <c r="D1" s="17" t="s">
        <v>142</v>
      </c>
      <c r="E1" s="6" t="s">
        <v>36</v>
      </c>
    </row>
    <row r="2" spans="1:5">
      <c r="A2" s="9" t="s">
        <v>50</v>
      </c>
      <c r="B2" s="9" t="s">
        <v>28</v>
      </c>
      <c r="C2" s="9" t="s">
        <v>143</v>
      </c>
      <c r="D2" s="9" t="s">
        <v>144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6441F267-445D-4828-BAEA-9FB6F481C3B3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E3763-07D7-4A00-A1FD-3EE1302E2585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152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101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99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102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153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110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232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147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103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104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130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131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154</v>
      </c>
      <c r="C17" s="7" t="s">
        <v>233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155</v>
      </c>
      <c r="C20" s="7" t="s">
        <v>156</v>
      </c>
      <c r="E20" t="str">
        <f t="shared" si="0"/>
        <v>啟動依ID,</v>
      </c>
      <c r="H20"/>
    </row>
    <row r="21" spans="1:8">
      <c r="A21" s="7" t="s">
        <v>27</v>
      </c>
      <c r="B21" s="7" t="s">
        <v>157</v>
      </c>
      <c r="C21" s="7" t="s">
        <v>158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126</v>
      </c>
      <c r="C22" s="7" t="s">
        <v>159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127</v>
      </c>
      <c r="C23" s="7" t="s">
        <v>160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128</v>
      </c>
      <c r="C24" s="7" t="s">
        <v>161</v>
      </c>
      <c r="E24" t="str">
        <f t="shared" si="0"/>
        <v>啟動依位置,</v>
      </c>
      <c r="H24"/>
    </row>
    <row r="25" spans="1:8">
      <c r="A25" s="7" t="s">
        <v>27</v>
      </c>
      <c r="B25" s="7" t="s">
        <v>129</v>
      </c>
      <c r="C25" s="7" t="s">
        <v>162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163</v>
      </c>
      <c r="C26" s="7" t="s">
        <v>164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165</v>
      </c>
      <c r="C27" s="7" t="s">
        <v>166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167</v>
      </c>
      <c r="E30" t="str">
        <f t="shared" si="0"/>
        <v>物件,</v>
      </c>
      <c r="H30"/>
    </row>
    <row r="31" spans="1:8">
      <c r="A31" s="7" t="s">
        <v>27</v>
      </c>
      <c r="B31" s="7" t="s">
        <v>118</v>
      </c>
      <c r="C31" s="7" t="s">
        <v>168</v>
      </c>
      <c r="E31" t="str">
        <f t="shared" si="0"/>
        <v>Sprite,</v>
      </c>
      <c r="H31"/>
    </row>
    <row r="32" spans="1:8">
      <c r="A32" s="7" t="s">
        <v>27</v>
      </c>
      <c r="B32" s="7" t="s">
        <v>100</v>
      </c>
      <c r="C32" s="7" t="s">
        <v>169</v>
      </c>
      <c r="E32" t="str">
        <f t="shared" si="0"/>
        <v>動畫,</v>
      </c>
      <c r="H32"/>
    </row>
    <row r="33" spans="1:8">
      <c r="A33" s="7" t="s">
        <v>27</v>
      </c>
      <c r="B33" s="7" t="s">
        <v>106</v>
      </c>
      <c r="C33" s="7" t="s">
        <v>170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105</v>
      </c>
      <c r="C34" s="7" t="s">
        <v>171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172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173</v>
      </c>
      <c r="C36" s="7" t="s">
        <v>174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175</v>
      </c>
      <c r="C37" s="7" t="s">
        <v>176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177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178</v>
      </c>
      <c r="E41" t="str">
        <f t="shared" si="0"/>
        <v>回收時間,</v>
      </c>
      <c r="H41"/>
    </row>
    <row r="42" spans="1:8">
      <c r="A42" s="7" t="s">
        <v>27</v>
      </c>
      <c r="B42" s="7" t="s">
        <v>107</v>
      </c>
      <c r="C42" s="7" t="s">
        <v>179</v>
      </c>
      <c r="E42" t="str">
        <f t="shared" si="0"/>
        <v>死亡時間,</v>
      </c>
      <c r="H42"/>
    </row>
    <row r="43" spans="1:8">
      <c r="A43" s="7" t="s">
        <v>27</v>
      </c>
      <c r="B43" s="7" t="s">
        <v>230</v>
      </c>
      <c r="C43" s="7" t="s">
        <v>231</v>
      </c>
      <c r="E43" t="str">
        <f t="shared" si="0"/>
        <v>符卡時間,</v>
      </c>
      <c r="H43"/>
    </row>
    <row r="44" spans="1:8">
      <c r="B44" s="25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180</v>
      </c>
      <c r="E46" t="str">
        <f t="shared" si="0"/>
        <v>移位置,</v>
      </c>
      <c r="H46"/>
    </row>
    <row r="47" spans="1:8">
      <c r="A47" s="7" t="s">
        <v>27</v>
      </c>
      <c r="B47" s="7" t="s">
        <v>116</v>
      </c>
      <c r="C47" s="7" t="s">
        <v>181</v>
      </c>
      <c r="E47" t="str">
        <f t="shared" si="0"/>
        <v>相對位置,</v>
      </c>
      <c r="H47"/>
    </row>
    <row r="48" spans="1:8">
      <c r="A48" s="7" t="s">
        <v>27</v>
      </c>
      <c r="B48" s="7" t="s">
        <v>133</v>
      </c>
      <c r="C48" s="7" t="s">
        <v>182</v>
      </c>
      <c r="E48" t="str">
        <f t="shared" si="0"/>
        <v>位置參數,</v>
      </c>
      <c r="H48"/>
    </row>
    <row r="49" spans="1:8">
      <c r="A49" s="7" t="s">
        <v>27</v>
      </c>
      <c r="B49" s="7" t="s">
        <v>146</v>
      </c>
      <c r="C49" s="7" t="s">
        <v>183</v>
      </c>
      <c r="E49" t="str">
        <f t="shared" si="0"/>
        <v>加位置,</v>
      </c>
      <c r="H49"/>
    </row>
    <row r="50" spans="1:8">
      <c r="A50" s="7" t="s">
        <v>27</v>
      </c>
      <c r="B50" s="7" t="s">
        <v>239</v>
      </c>
      <c r="C50" s="7" t="s">
        <v>240</v>
      </c>
      <c r="E50" t="str">
        <f t="shared" si="0"/>
        <v>記錄位置,</v>
      </c>
      <c r="H50"/>
    </row>
    <row r="51" spans="1:8">
      <c r="A51" s="7" t="s">
        <v>27</v>
      </c>
      <c r="B51" s="7" t="s">
        <v>241</v>
      </c>
      <c r="C51" s="7" t="s">
        <v>242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184</v>
      </c>
      <c r="E54" t="str">
        <f t="shared" si="0"/>
        <v>移動角度,</v>
      </c>
      <c r="H54"/>
    </row>
    <row r="55" spans="1:8">
      <c r="A55" s="7" t="s">
        <v>27</v>
      </c>
      <c r="B55" s="7" t="s">
        <v>111</v>
      </c>
      <c r="C55" s="7" t="s">
        <v>185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112</v>
      </c>
      <c r="C56" s="7" t="s">
        <v>186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113</v>
      </c>
      <c r="C57" s="7" t="s">
        <v>187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132</v>
      </c>
      <c r="C58" s="7" t="s">
        <v>188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189</v>
      </c>
      <c r="C59" s="7" t="s">
        <v>190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114</v>
      </c>
      <c r="C60" s="7" t="s">
        <v>191</v>
      </c>
      <c r="E60" t="str">
        <f t="shared" si="0"/>
        <v>旋轉是移動角度,</v>
      </c>
      <c r="H60"/>
    </row>
    <row r="61" spans="1:8">
      <c r="A61" s="7" t="s">
        <v>27</v>
      </c>
      <c r="B61" s="26" t="s">
        <v>234</v>
      </c>
      <c r="C61" s="7" t="s">
        <v>235</v>
      </c>
      <c r="E61" t="str">
        <f t="shared" si="0"/>
        <v>子旋轉角度,</v>
      </c>
      <c r="H61"/>
    </row>
    <row r="62" spans="1:8">
      <c r="A62" s="7" t="s">
        <v>27</v>
      </c>
      <c r="B62" s="26" t="s">
        <v>236</v>
      </c>
      <c r="C62" s="7" t="s">
        <v>237</v>
      </c>
      <c r="E62" t="str">
        <f t="shared" si="0"/>
        <v>子加旋轉角度,</v>
      </c>
      <c r="H62"/>
    </row>
    <row r="63" spans="1:8">
      <c r="A63" s="7" t="s">
        <v>27</v>
      </c>
      <c r="B63" s="7" t="s">
        <v>243</v>
      </c>
      <c r="C63" s="7" t="s">
        <v>244</v>
      </c>
      <c r="E63" t="str">
        <f t="shared" si="0"/>
        <v>記錄角度,</v>
      </c>
      <c r="H63"/>
    </row>
    <row r="64" spans="1:8">
      <c r="A64" s="7" t="s">
        <v>27</v>
      </c>
      <c r="B64" s="7" t="s">
        <v>246</v>
      </c>
      <c r="C64" s="7" t="s">
        <v>245</v>
      </c>
      <c r="E64" t="str">
        <f t="shared" si="0"/>
        <v>記錄角度ID,</v>
      </c>
      <c r="H64"/>
    </row>
    <row r="65" spans="1:11">
      <c r="B65" s="26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192</v>
      </c>
      <c r="E67" t="str">
        <f t="shared" si="0"/>
        <v>速度,</v>
      </c>
      <c r="H67"/>
    </row>
    <row r="68" spans="1:11">
      <c r="A68" s="7" t="s">
        <v>27</v>
      </c>
      <c r="B68" s="7" t="s">
        <v>115</v>
      </c>
      <c r="C68" s="7" t="s">
        <v>193</v>
      </c>
      <c r="E68" t="str">
        <f t="shared" si="0"/>
        <v>加速度,</v>
      </c>
      <c r="H68"/>
    </row>
    <row r="69" spans="1:11">
      <c r="A69" s="7" t="s">
        <v>27</v>
      </c>
      <c r="B69" s="7" t="s">
        <v>108</v>
      </c>
      <c r="C69" s="7" t="s">
        <v>194</v>
      </c>
      <c r="E69" t="str">
        <f t="shared" si="0"/>
        <v>最小速度,</v>
      </c>
      <c r="H69"/>
    </row>
    <row r="70" spans="1:11">
      <c r="A70" s="7" t="s">
        <v>27</v>
      </c>
      <c r="B70" s="7" t="s">
        <v>109</v>
      </c>
      <c r="C70" s="7" t="s">
        <v>195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196</v>
      </c>
      <c r="C73" s="7" t="s">
        <v>197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198</v>
      </c>
      <c r="E74" t="str">
        <f t="shared" si="0"/>
        <v>無敵,</v>
      </c>
      <c r="H74"/>
    </row>
    <row r="75" spans="1:11">
      <c r="A75" s="7" t="s">
        <v>27</v>
      </c>
      <c r="B75" s="7" t="s">
        <v>117</v>
      </c>
      <c r="C75" s="7" t="s">
        <v>199</v>
      </c>
      <c r="E75" t="str">
        <f t="shared" si="0"/>
        <v>貫穿,</v>
      </c>
      <c r="H75"/>
    </row>
    <row r="76" spans="1:11">
      <c r="A76" s="7" t="s">
        <v>27</v>
      </c>
      <c r="B76" s="7" t="s">
        <v>125</v>
      </c>
      <c r="C76" s="7" t="s">
        <v>200</v>
      </c>
      <c r="E76" t="str">
        <f t="shared" si="0"/>
        <v>回收距離,</v>
      </c>
      <c r="H76"/>
    </row>
    <row r="77" spans="1:11">
      <c r="A77" s="7" t="s">
        <v>27</v>
      </c>
      <c r="B77" s="7" t="s">
        <v>201</v>
      </c>
      <c r="C77" s="7" t="s">
        <v>202</v>
      </c>
      <c r="E77" t="str">
        <f t="shared" si="0"/>
        <v>出生動畫速率,</v>
      </c>
      <c r="H77"/>
    </row>
    <row r="78" spans="1:11">
      <c r="A78" s="7" t="s">
        <v>27</v>
      </c>
      <c r="B78" s="7" t="s">
        <v>203</v>
      </c>
      <c r="C78" s="7" t="s">
        <v>204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205</v>
      </c>
      <c r="C79" s="7" t="s">
        <v>206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207</v>
      </c>
      <c r="C80" s="7" t="s">
        <v>208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119</v>
      </c>
      <c r="C83" s="7" t="s">
        <v>209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120</v>
      </c>
      <c r="C84" s="7" t="s">
        <v>210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121</v>
      </c>
      <c r="C85" s="7" t="s">
        <v>211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122</v>
      </c>
      <c r="C86" s="7" t="s">
        <v>212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123</v>
      </c>
      <c r="C87" s="7" t="s">
        <v>213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124</v>
      </c>
      <c r="C88" s="7" t="s">
        <v>214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215</v>
      </c>
      <c r="C91" s="7" t="s">
        <v>216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217</v>
      </c>
      <c r="C92" s="7" t="s">
        <v>218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219</v>
      </c>
      <c r="C93" s="7" t="s">
        <v>220</v>
      </c>
      <c r="E93" t="str">
        <f t="shared" si="1"/>
        <v>玩家Power需求,</v>
      </c>
      <c r="H93"/>
    </row>
    <row r="94" spans="1:11">
      <c r="A94" s="7" t="s">
        <v>27</v>
      </c>
      <c r="B94" s="7" t="s">
        <v>221</v>
      </c>
      <c r="C94" s="7" t="s">
        <v>222</v>
      </c>
      <c r="E94" t="str">
        <f t="shared" si="1"/>
        <v>玩家Shift,</v>
      </c>
      <c r="H94"/>
    </row>
    <row r="95" spans="1:11">
      <c r="A95" s="7" t="s">
        <v>27</v>
      </c>
      <c r="B95" s="7" t="s">
        <v>223</v>
      </c>
      <c r="C95" s="7" t="s">
        <v>224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142</v>
      </c>
      <c r="B103" s="7" t="s">
        <v>136</v>
      </c>
      <c r="C103" s="7" t="s">
        <v>21</v>
      </c>
      <c r="H103"/>
    </row>
    <row r="104" spans="1:12" customFormat="1">
      <c r="A104" s="7" t="s">
        <v>142</v>
      </c>
      <c r="B104" t="s">
        <v>137</v>
      </c>
      <c r="C104" s="7" t="s">
        <v>25</v>
      </c>
      <c r="D104" s="7"/>
      <c r="L104" s="7"/>
    </row>
    <row r="105" spans="1:12" customFormat="1">
      <c r="A105" s="7" t="s">
        <v>142</v>
      </c>
      <c r="B105" t="s">
        <v>138</v>
      </c>
      <c r="C105" s="7" t="s">
        <v>26</v>
      </c>
      <c r="D105" s="7"/>
      <c r="L105" s="7"/>
    </row>
    <row r="106" spans="1:12" customFormat="1">
      <c r="A106" s="7" t="s">
        <v>142</v>
      </c>
      <c r="B106" t="s">
        <v>225</v>
      </c>
      <c r="C106" s="7" t="s">
        <v>96</v>
      </c>
      <c r="D106" s="7"/>
      <c r="L106" s="7"/>
    </row>
    <row r="107" spans="1:12" customFormat="1">
      <c r="A107" s="7" t="s">
        <v>142</v>
      </c>
      <c r="B107" t="s">
        <v>226</v>
      </c>
      <c r="C107" s="7" t="s">
        <v>23</v>
      </c>
      <c r="D107" s="7"/>
      <c r="L107" s="7"/>
    </row>
    <row r="108" spans="1:12" customFormat="1">
      <c r="A108" s="7" t="s">
        <v>142</v>
      </c>
      <c r="B108" t="s">
        <v>227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143</v>
      </c>
      <c r="B111" t="s">
        <v>134</v>
      </c>
      <c r="C111" s="7" t="s">
        <v>21</v>
      </c>
      <c r="D111" s="4"/>
      <c r="L111" s="7"/>
    </row>
    <row r="112" spans="1:12" customFormat="1">
      <c r="A112" s="7" t="s">
        <v>143</v>
      </c>
      <c r="B112" t="s">
        <v>135</v>
      </c>
      <c r="C112" s="7" t="s">
        <v>37</v>
      </c>
      <c r="D112" s="7"/>
      <c r="L112" s="7"/>
    </row>
    <row r="113" spans="1:12" customFormat="1">
      <c r="A113" s="7" t="s">
        <v>143</v>
      </c>
      <c r="B113" t="s">
        <v>145</v>
      </c>
      <c r="C113" s="7" t="s">
        <v>38</v>
      </c>
      <c r="D113" s="7"/>
      <c r="L113" s="7"/>
    </row>
    <row r="114" spans="1:12" customFormat="1">
      <c r="A114" s="7" t="s">
        <v>143</v>
      </c>
      <c r="B114" t="s">
        <v>228</v>
      </c>
      <c r="C114" s="7" t="s">
        <v>22</v>
      </c>
      <c r="D114" s="7"/>
      <c r="L114" s="7"/>
    </row>
    <row r="115" spans="1:12">
      <c r="A115" s="7" t="s">
        <v>143</v>
      </c>
      <c r="B115" s="7" t="s">
        <v>150</v>
      </c>
      <c r="C115" s="7" t="s">
        <v>23</v>
      </c>
      <c r="H115"/>
    </row>
    <row r="116" spans="1:12">
      <c r="A116" s="7" t="s">
        <v>143</v>
      </c>
      <c r="B116" s="7" t="s">
        <v>247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6E23F-4351-4B7F-9A53-82C8F056D689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142</v>
      </c>
      <c r="C1" s="6" t="s">
        <v>143</v>
      </c>
      <c r="D1" s="8"/>
      <c r="E1" s="8"/>
      <c r="F1" s="8"/>
      <c r="G1" s="6"/>
      <c r="H1" s="8"/>
      <c r="I1" s="8"/>
      <c r="J1" s="8"/>
    </row>
    <row r="2" spans="1:10" ht="85.5">
      <c r="B2" s="20" t="s">
        <v>136</v>
      </c>
      <c r="C2" s="20" t="s">
        <v>134</v>
      </c>
      <c r="D2" s="20"/>
      <c r="G2" s="21" t="s">
        <v>149</v>
      </c>
    </row>
    <row r="3" spans="1:10">
      <c r="A3" s="20" t="s">
        <v>93</v>
      </c>
      <c r="B3" s="20" t="s">
        <v>137</v>
      </c>
      <c r="C3" s="20" t="s">
        <v>135</v>
      </c>
      <c r="D3" s="20"/>
      <c r="G3" s="9"/>
    </row>
    <row r="4" spans="1:10">
      <c r="A4" s="20" t="s">
        <v>101</v>
      </c>
      <c r="B4" s="20" t="s">
        <v>138</v>
      </c>
      <c r="C4" s="20" t="s">
        <v>229</v>
      </c>
      <c r="D4" s="20"/>
      <c r="G4" s="9"/>
      <c r="H4" s="18"/>
    </row>
    <row r="5" spans="1:10" ht="17.25" customHeight="1">
      <c r="A5" s="20" t="s">
        <v>99</v>
      </c>
      <c r="B5" s="20" t="s">
        <v>225</v>
      </c>
      <c r="C5" s="20" t="s">
        <v>228</v>
      </c>
      <c r="D5" s="20"/>
      <c r="G5" s="9"/>
    </row>
    <row r="6" spans="1:10">
      <c r="A6" s="20" t="s">
        <v>102</v>
      </c>
      <c r="B6" s="20" t="s">
        <v>226</v>
      </c>
      <c r="C6" s="20" t="s">
        <v>150</v>
      </c>
      <c r="D6" s="20"/>
      <c r="G6" s="9"/>
    </row>
    <row r="7" spans="1:10">
      <c r="A7" s="20" t="s">
        <v>48</v>
      </c>
      <c r="B7" s="20" t="s">
        <v>227</v>
      </c>
      <c r="C7" s="25" t="s">
        <v>247</v>
      </c>
      <c r="D7" s="20"/>
      <c r="G7" s="9"/>
    </row>
    <row r="8" spans="1:10">
      <c r="A8" s="20" t="s">
        <v>153</v>
      </c>
      <c r="B8" s="25"/>
      <c r="C8" s="20"/>
      <c r="D8" s="20"/>
      <c r="G8" s="9"/>
    </row>
    <row r="9" spans="1:10">
      <c r="A9" s="20" t="s">
        <v>110</v>
      </c>
      <c r="B9" s="20"/>
      <c r="C9" s="20"/>
      <c r="D9" s="20"/>
      <c r="G9" s="9"/>
    </row>
    <row r="10" spans="1:10">
      <c r="A10" s="20" t="s">
        <v>232</v>
      </c>
      <c r="B10" s="20"/>
      <c r="C10" s="20"/>
      <c r="D10" s="20"/>
      <c r="G10" s="9"/>
    </row>
    <row r="11" spans="1:10">
      <c r="A11" s="20" t="s">
        <v>147</v>
      </c>
      <c r="G11" s="9"/>
    </row>
    <row r="12" spans="1:10">
      <c r="A12" s="20" t="s">
        <v>45</v>
      </c>
      <c r="G12" s="9"/>
    </row>
    <row r="13" spans="1:10">
      <c r="A13" s="20" t="s">
        <v>103</v>
      </c>
      <c r="G13" s="9"/>
    </row>
    <row r="14" spans="1:10">
      <c r="A14" s="20" t="s">
        <v>104</v>
      </c>
      <c r="C14" s="9"/>
      <c r="G14" s="9"/>
    </row>
    <row r="15" spans="1:10">
      <c r="A15" s="20" t="s">
        <v>130</v>
      </c>
      <c r="G15" s="9"/>
    </row>
    <row r="16" spans="1:10">
      <c r="A16" s="20" t="s">
        <v>131</v>
      </c>
      <c r="C16"/>
      <c r="G16" s="9"/>
    </row>
    <row r="17" spans="1:7">
      <c r="A17" s="20" t="s">
        <v>154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155</v>
      </c>
      <c r="C20"/>
      <c r="G20" s="9"/>
    </row>
    <row r="21" spans="1:7">
      <c r="A21" s="20" t="s">
        <v>157</v>
      </c>
      <c r="C21"/>
      <c r="G21" s="9"/>
    </row>
    <row r="22" spans="1:7">
      <c r="A22" s="20" t="s">
        <v>126</v>
      </c>
      <c r="C22"/>
      <c r="G22" s="9"/>
    </row>
    <row r="23" spans="1:7">
      <c r="A23" s="20" t="s">
        <v>127</v>
      </c>
      <c r="C23"/>
      <c r="G23" s="9"/>
    </row>
    <row r="24" spans="1:7">
      <c r="A24" s="20" t="s">
        <v>128</v>
      </c>
      <c r="C24"/>
      <c r="G24" s="9"/>
    </row>
    <row r="25" spans="1:7" s="9" customFormat="1">
      <c r="A25" s="20" t="s">
        <v>129</v>
      </c>
      <c r="C25"/>
      <c r="F25" s="4"/>
    </row>
    <row r="26" spans="1:7">
      <c r="A26" s="20" t="s">
        <v>163</v>
      </c>
      <c r="C26"/>
      <c r="G26" s="9"/>
    </row>
    <row r="27" spans="1:7">
      <c r="A27" s="20" t="s">
        <v>165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118</v>
      </c>
      <c r="C31"/>
      <c r="G31" s="9"/>
    </row>
    <row r="32" spans="1:7">
      <c r="A32" s="20" t="s">
        <v>100</v>
      </c>
      <c r="C32"/>
      <c r="G32" s="9"/>
    </row>
    <row r="33" spans="1:7">
      <c r="A33" s="20" t="s">
        <v>106</v>
      </c>
      <c r="C33"/>
      <c r="G33" s="9"/>
    </row>
    <row r="34" spans="1:7">
      <c r="A34" s="20" t="s">
        <v>105</v>
      </c>
      <c r="C34"/>
      <c r="G34" s="9"/>
    </row>
    <row r="35" spans="1:7">
      <c r="A35" s="20" t="s">
        <v>46</v>
      </c>
      <c r="C35"/>
      <c r="G35" s="9"/>
    </row>
    <row r="36" spans="1:7">
      <c r="A36" s="20" t="s">
        <v>173</v>
      </c>
      <c r="C36"/>
    </row>
    <row r="37" spans="1:7">
      <c r="A37" s="20" t="s">
        <v>175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97</v>
      </c>
      <c r="C41"/>
      <c r="G41" s="9"/>
    </row>
    <row r="42" spans="1:7">
      <c r="A42" s="20" t="s">
        <v>107</v>
      </c>
      <c r="C42"/>
      <c r="G42" s="9"/>
    </row>
    <row r="43" spans="1:7">
      <c r="A43" s="25" t="s">
        <v>230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98</v>
      </c>
      <c r="C46"/>
      <c r="G46" s="9"/>
    </row>
    <row r="47" spans="1:7">
      <c r="A47" s="20" t="s">
        <v>116</v>
      </c>
      <c r="C47"/>
      <c r="G47" s="9"/>
    </row>
    <row r="48" spans="1:7">
      <c r="A48" s="20" t="s">
        <v>133</v>
      </c>
      <c r="C48"/>
      <c r="G48" s="9"/>
    </row>
    <row r="49" spans="1:8">
      <c r="A49" s="20" t="s">
        <v>146</v>
      </c>
      <c r="C49"/>
      <c r="G49" s="9"/>
    </row>
    <row r="50" spans="1:8">
      <c r="A50" s="26" t="s">
        <v>243</v>
      </c>
      <c r="C50"/>
      <c r="G50" s="9"/>
    </row>
    <row r="51" spans="1:8">
      <c r="A51" s="26" t="s">
        <v>248</v>
      </c>
      <c r="C51"/>
      <c r="G51" s="9"/>
    </row>
    <row r="52" spans="1:8">
      <c r="A52" s="26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111</v>
      </c>
      <c r="C55"/>
      <c r="G55" s="9"/>
      <c r="H55" s="11"/>
    </row>
    <row r="56" spans="1:8">
      <c r="A56" s="20" t="s">
        <v>112</v>
      </c>
      <c r="C56"/>
      <c r="G56" s="9"/>
      <c r="H56" s="11"/>
    </row>
    <row r="57" spans="1:8">
      <c r="A57" s="27" t="s">
        <v>238</v>
      </c>
      <c r="C57"/>
      <c r="G57" s="9"/>
    </row>
    <row r="58" spans="1:8">
      <c r="A58" s="20" t="s">
        <v>132</v>
      </c>
      <c r="G58" s="9"/>
    </row>
    <row r="59" spans="1:8">
      <c r="A59" s="20" t="s">
        <v>189</v>
      </c>
      <c r="G59" s="9"/>
    </row>
    <row r="60" spans="1:8">
      <c r="A60" s="20" t="s">
        <v>114</v>
      </c>
      <c r="G60" s="9"/>
    </row>
    <row r="61" spans="1:8">
      <c r="A61" s="26" t="s">
        <v>234</v>
      </c>
      <c r="G61" s="9"/>
    </row>
    <row r="62" spans="1:8">
      <c r="A62" s="26" t="s">
        <v>236</v>
      </c>
      <c r="G62" s="9"/>
    </row>
    <row r="63" spans="1:8">
      <c r="A63" s="26" t="s">
        <v>243</v>
      </c>
      <c r="G63" s="9"/>
    </row>
    <row r="64" spans="1:8">
      <c r="A64" s="26" t="s">
        <v>246</v>
      </c>
      <c r="G64" s="9"/>
    </row>
    <row r="65" spans="1:7">
      <c r="A65" s="26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115</v>
      </c>
      <c r="C68"/>
      <c r="G68" s="9"/>
    </row>
    <row r="69" spans="1:7">
      <c r="A69" s="20" t="s">
        <v>108</v>
      </c>
      <c r="C69"/>
      <c r="G69" s="9"/>
    </row>
    <row r="70" spans="1:7">
      <c r="A70" s="20" t="s">
        <v>109</v>
      </c>
      <c r="G70" s="9"/>
    </row>
    <row r="71" spans="1:7">
      <c r="G71" s="9"/>
    </row>
    <row r="72" spans="1:7">
      <c r="G72" s="9"/>
    </row>
    <row r="73" spans="1:7">
      <c r="A73" s="20" t="s">
        <v>196</v>
      </c>
    </row>
    <row r="74" spans="1:7">
      <c r="A74" s="20" t="s">
        <v>47</v>
      </c>
    </row>
    <row r="75" spans="1:7">
      <c r="A75" s="20" t="s">
        <v>117</v>
      </c>
    </row>
    <row r="76" spans="1:7">
      <c r="A76" s="20" t="s">
        <v>125</v>
      </c>
      <c r="G76" s="9"/>
    </row>
    <row r="77" spans="1:7">
      <c r="A77" s="20" t="s">
        <v>201</v>
      </c>
      <c r="G77" s="9"/>
    </row>
    <row r="78" spans="1:7">
      <c r="A78" s="20" t="s">
        <v>203</v>
      </c>
      <c r="G78" s="9"/>
    </row>
    <row r="79" spans="1:7">
      <c r="A79" s="20" t="s">
        <v>205</v>
      </c>
    </row>
    <row r="80" spans="1:7">
      <c r="A80" s="20" t="s">
        <v>207</v>
      </c>
    </row>
    <row r="83" spans="1:1">
      <c r="A83" s="20" t="s">
        <v>119</v>
      </c>
    </row>
    <row r="84" spans="1:1">
      <c r="A84" s="20" t="s">
        <v>120</v>
      </c>
    </row>
    <row r="85" spans="1:1">
      <c r="A85" s="20" t="s">
        <v>121</v>
      </c>
    </row>
    <row r="86" spans="1:1">
      <c r="A86" s="20" t="s">
        <v>122</v>
      </c>
    </row>
    <row r="87" spans="1:1">
      <c r="A87" s="20" t="s">
        <v>123</v>
      </c>
    </row>
    <row r="88" spans="1:1">
      <c r="A88" s="20" t="s">
        <v>124</v>
      </c>
    </row>
    <row r="91" spans="1:1">
      <c r="A91" s="20" t="s">
        <v>215</v>
      </c>
    </row>
    <row r="92" spans="1:1">
      <c r="A92" s="20" t="s">
        <v>217</v>
      </c>
    </row>
    <row r="93" spans="1:1">
      <c r="A93" s="20" t="s">
        <v>219</v>
      </c>
    </row>
    <row r="94" spans="1:1">
      <c r="A94" s="20" t="s">
        <v>221</v>
      </c>
    </row>
    <row r="95" spans="1:1">
      <c r="A95" s="20" t="s">
        <v>223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0875BA17-E165-42E7-A9CD-D9C16CE8A24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5B97E-0CE8-4195-9BF0-BFBD58DDF6BE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79A16-E7EF-4758-855D-38B4C2D163CE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D869D-74D7-4A23-8F8D-30F8134747B6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power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2025-04-16T06:38:27Z</dcterms:modified>
</cp:coreProperties>
</file>