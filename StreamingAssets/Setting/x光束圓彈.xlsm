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B736181C-F560-49CC-AD33-3C5AAC14E72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3light_shot1" sheetId="1" r:id="rId1"/>
    <sheet name="#ALIAS" sheetId="50" r:id="rId2"/>
    <sheet name="#DEFINE" sheetId="51" r:id="rId3"/>
    <sheet name="#OPTION" sheetId="52" r:id="rId4"/>
    <sheet name="#PARAM" sheetId="53" r:id="rId5"/>
    <sheet name="#OUTPUT" sheetId="54" r:id="rId6"/>
    <sheet name="#使用說明" sheetId="55" r:id="rId7"/>
  </sheets>
  <functionGroups builtInGroupCount="19"/>
  <definedNames>
    <definedName name="_xlnm._FilterDatabase" localSheetId="0" hidden="1">stage7_card3light_shot1!$D$1:$D$25</definedName>
    <definedName name="_OPTION_">'#OPTION'!$A$2:$A$90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3" i="51" l="1"/>
  <c r="G90" i="52"/>
  <c r="O29" i="1"/>
  <c r="O30" i="1"/>
  <c r="O31" i="1"/>
  <c r="O32" i="1"/>
  <c r="O33" i="1"/>
  <c r="O34" i="1"/>
  <c r="O35" i="1"/>
  <c r="O36" i="1"/>
  <c r="O37" i="1"/>
  <c r="O38" i="1"/>
  <c r="O28" i="1"/>
  <c r="E92" i="51"/>
  <c r="G89" i="52"/>
  <c r="G257" i="52" l="1"/>
  <c r="G256" i="52"/>
  <c r="G255" i="52"/>
  <c r="G254" i="52"/>
  <c r="G253" i="52"/>
  <c r="G252" i="52"/>
  <c r="G251" i="52"/>
  <c r="G250" i="52"/>
  <c r="G249" i="52"/>
  <c r="G248" i="52"/>
  <c r="G247" i="52"/>
  <c r="G246" i="52"/>
  <c r="G245" i="52"/>
  <c r="G244" i="52"/>
  <c r="G243" i="52"/>
  <c r="G242" i="52"/>
  <c r="G241" i="52"/>
  <c r="G240" i="52"/>
  <c r="G239" i="52"/>
  <c r="G238" i="52"/>
  <c r="G237" i="52"/>
  <c r="G236" i="52"/>
  <c r="G235" i="52"/>
  <c r="G234" i="52"/>
  <c r="G233" i="52"/>
  <c r="G232" i="52"/>
  <c r="G231" i="52"/>
  <c r="G230" i="52"/>
  <c r="G229" i="52"/>
  <c r="G228" i="52"/>
  <c r="G227" i="52"/>
  <c r="G226" i="52"/>
  <c r="G225" i="52"/>
  <c r="G224" i="52"/>
  <c r="G223" i="52"/>
  <c r="G222" i="52"/>
  <c r="G221" i="52"/>
  <c r="G220" i="52"/>
  <c r="G219" i="52"/>
  <c r="G218" i="52"/>
  <c r="G217" i="52"/>
  <c r="G216" i="52"/>
  <c r="G215" i="52"/>
  <c r="G214" i="52"/>
  <c r="G213" i="52"/>
  <c r="G212" i="52"/>
  <c r="G211" i="52"/>
  <c r="G210" i="52"/>
  <c r="G209" i="52"/>
  <c r="G208" i="52"/>
  <c r="G207" i="52"/>
  <c r="G206" i="52"/>
  <c r="G205" i="52"/>
  <c r="G204" i="52"/>
  <c r="G203" i="52"/>
  <c r="G202" i="52"/>
  <c r="G201" i="52"/>
  <c r="G200" i="52"/>
  <c r="G199" i="52"/>
  <c r="G198" i="52"/>
  <c r="G197" i="52"/>
  <c r="G196" i="52"/>
  <c r="G195" i="52"/>
  <c r="G194" i="52"/>
  <c r="G193" i="52"/>
  <c r="G192" i="52"/>
  <c r="G191" i="52"/>
  <c r="G190" i="52"/>
  <c r="G189" i="52"/>
  <c r="G188" i="52"/>
  <c r="G187" i="52"/>
  <c r="G186" i="52"/>
  <c r="G185" i="52"/>
  <c r="G184" i="52"/>
  <c r="G183" i="52"/>
  <c r="G182" i="52"/>
  <c r="G181" i="52"/>
  <c r="G180" i="52"/>
  <c r="G179" i="52"/>
  <c r="G178" i="52"/>
  <c r="G177" i="52"/>
  <c r="G176" i="52"/>
  <c r="G175" i="52"/>
  <c r="G174" i="52"/>
  <c r="G173" i="52"/>
  <c r="G172" i="52"/>
  <c r="G171" i="52"/>
  <c r="G170" i="52"/>
  <c r="G169" i="52"/>
  <c r="G168" i="52"/>
  <c r="G167" i="52"/>
  <c r="G166" i="52"/>
  <c r="G165" i="52"/>
  <c r="G164" i="52"/>
  <c r="G163" i="52"/>
  <c r="G162" i="52"/>
  <c r="G161" i="52"/>
  <c r="G160" i="52"/>
  <c r="G159" i="52"/>
  <c r="G158" i="52"/>
  <c r="G157" i="52"/>
  <c r="G156" i="52"/>
  <c r="G155" i="52"/>
  <c r="G154" i="52"/>
  <c r="G153" i="52"/>
  <c r="G152" i="52"/>
  <c r="G151" i="52"/>
  <c r="G150" i="52"/>
  <c r="G149" i="52"/>
  <c r="G148" i="52"/>
  <c r="G147" i="52"/>
  <c r="G146" i="52"/>
  <c r="G145" i="52"/>
  <c r="G144" i="52"/>
  <c r="G143" i="52"/>
  <c r="G142" i="52"/>
  <c r="G141" i="52"/>
  <c r="G140" i="52"/>
  <c r="G139" i="52"/>
  <c r="G138" i="52"/>
  <c r="G137" i="52"/>
  <c r="G136" i="52"/>
  <c r="G135" i="52"/>
  <c r="G134" i="52"/>
  <c r="G133" i="52"/>
  <c r="G132" i="52"/>
  <c r="G131" i="52"/>
  <c r="G130" i="52"/>
  <c r="G129" i="52"/>
  <c r="G128" i="52"/>
  <c r="G127" i="52"/>
  <c r="G126" i="52"/>
  <c r="G125" i="52"/>
  <c r="G124" i="52"/>
  <c r="G123" i="52"/>
  <c r="G121" i="52"/>
  <c r="G120" i="52"/>
  <c r="G119" i="52"/>
  <c r="G118" i="52"/>
  <c r="G117" i="52"/>
  <c r="G116" i="52"/>
  <c r="G115" i="52"/>
  <c r="G114" i="52"/>
  <c r="G113" i="52"/>
  <c r="G112" i="52"/>
  <c r="G111" i="52"/>
  <c r="G110" i="52"/>
  <c r="G109" i="52"/>
  <c r="G108" i="52"/>
  <c r="G107" i="52"/>
  <c r="G105" i="52"/>
  <c r="G104" i="52"/>
  <c r="G103" i="52"/>
  <c r="G102" i="52"/>
  <c r="G101" i="52"/>
  <c r="G100" i="52"/>
  <c r="G99" i="52"/>
  <c r="G98" i="52"/>
  <c r="G97" i="52"/>
  <c r="G96" i="52"/>
  <c r="G95" i="52"/>
  <c r="G94" i="52"/>
  <c r="G93" i="52"/>
  <c r="G92" i="52"/>
  <c r="G91" i="52"/>
  <c r="G88" i="52"/>
  <c r="G87" i="52"/>
  <c r="G86" i="52"/>
  <c r="G85" i="52"/>
  <c r="G84" i="52"/>
  <c r="G83" i="52"/>
  <c r="G82" i="52"/>
  <c r="G81" i="52"/>
  <c r="G80" i="52"/>
  <c r="G79" i="52"/>
  <c r="G78" i="52"/>
  <c r="G77" i="52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G5" i="52"/>
  <c r="G4" i="52"/>
  <c r="G3" i="52"/>
  <c r="G2" i="52"/>
  <c r="E97" i="51"/>
  <c r="E96" i="51"/>
  <c r="E95" i="51"/>
  <c r="E91" i="51"/>
  <c r="E90" i="51"/>
  <c r="E89" i="51"/>
  <c r="E88" i="51"/>
  <c r="E87" i="51"/>
  <c r="E86" i="51"/>
  <c r="E85" i="51"/>
  <c r="E84" i="51"/>
  <c r="E83" i="51"/>
  <c r="E82" i="51"/>
  <c r="E81" i="51"/>
  <c r="E80" i="51"/>
  <c r="E79" i="51"/>
  <c r="E78" i="51"/>
  <c r="E77" i="51"/>
  <c r="E76" i="51"/>
  <c r="E75" i="51"/>
  <c r="E74" i="51"/>
  <c r="E73" i="51"/>
  <c r="E72" i="51"/>
  <c r="E71" i="51"/>
  <c r="E70" i="51"/>
  <c r="E69" i="51"/>
  <c r="E68" i="51"/>
  <c r="E67" i="51"/>
  <c r="E66" i="51"/>
  <c r="E65" i="51"/>
  <c r="E64" i="51"/>
  <c r="E63" i="51"/>
  <c r="E62" i="51"/>
  <c r="E61" i="51"/>
  <c r="E60" i="51"/>
  <c r="E59" i="51"/>
  <c r="E58" i="51"/>
  <c r="E57" i="51"/>
  <c r="E56" i="51"/>
  <c r="E55" i="51"/>
  <c r="E54" i="51"/>
  <c r="E53" i="51"/>
  <c r="E52" i="51"/>
  <c r="E51" i="51"/>
  <c r="E50" i="51"/>
  <c r="E49" i="51"/>
  <c r="E48" i="51"/>
  <c r="E47" i="51"/>
  <c r="E46" i="51"/>
  <c r="E45" i="51"/>
  <c r="E44" i="51"/>
  <c r="E43" i="51"/>
  <c r="E42" i="51"/>
  <c r="E41" i="51"/>
  <c r="E40" i="51"/>
  <c r="E39" i="51"/>
  <c r="E38" i="51"/>
  <c r="E37" i="51"/>
  <c r="E36" i="51"/>
  <c r="E35" i="51"/>
  <c r="E34" i="51"/>
  <c r="E33" i="51"/>
  <c r="E32" i="51"/>
  <c r="E31" i="51"/>
  <c r="E30" i="51"/>
  <c r="E29" i="51"/>
  <c r="E28" i="51"/>
  <c r="E27" i="51"/>
  <c r="E26" i="51"/>
  <c r="E25" i="51"/>
  <c r="E24" i="51"/>
  <c r="E23" i="51"/>
  <c r="E22" i="51"/>
  <c r="E21" i="51"/>
  <c r="E20" i="51"/>
  <c r="E19" i="51"/>
  <c r="E18" i="51"/>
  <c r="E17" i="51"/>
  <c r="E16" i="51"/>
  <c r="E15" i="51"/>
  <c r="E14" i="51"/>
  <c r="E13" i="51"/>
  <c r="E12" i="51"/>
  <c r="E11" i="51"/>
  <c r="E10" i="51"/>
  <c r="E9" i="51"/>
  <c r="E8" i="51"/>
  <c r="E7" i="51"/>
  <c r="E6" i="51"/>
  <c r="E5" i="51"/>
</calcChain>
</file>

<file path=xl/sharedStrings.xml><?xml version="1.0" encoding="utf-8"?>
<sst xmlns="http://schemas.openxmlformats.org/spreadsheetml/2006/main" count="542" uniqueCount="296">
  <si>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</si>
  <si>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</si>
  <si>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</si>
  <si>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</si>
  <si>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</si>
  <si>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</si>
  <si>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</si>
  <si>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</si>
  <si>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</si>
  <si>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</si>
  <si>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</si>
  <si>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</si>
  <si>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</si>
  <si>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</si>
  <si>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</si>
  <si>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</si>
  <si>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</si>
  <si>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</si>
  <si>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</si>
  <si>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</si>
  <si>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</si>
  <si>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</si>
  <si>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</si>
  <si>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</si>
  <si>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</si>
  <si>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</si>
  <si>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</si>
  <si>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</si>
  <si>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</si>
  <si>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數量</t>
  </si>
  <si>
    <t>時間</t>
  </si>
  <si>
    <t>物件</t>
  </si>
  <si>
    <t>速度</t>
  </si>
  <si>
    <t>移動角度</t>
  </si>
  <si>
    <t>6</t>
  </si>
  <si>
    <t>8</t>
  </si>
  <si>
    <t>10</t>
  </si>
  <si>
    <t>行動時間</t>
  </si>
  <si>
    <t>ParamFormat</t>
  </si>
  <si>
    <t>ParamVals[]</t>
    <phoneticPr fontId="2" type="noConversion"/>
  </si>
  <si>
    <t>b乘數量加a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</si>
  <si>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</si>
  <si>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</si>
  <si>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</si>
  <si>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</si>
  <si>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</si>
  <si>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</si>
  <si>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</si>
  <si>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</si>
  <si>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15</t>
  </si>
  <si>
    <t>符卡</t>
  </si>
  <si>
    <t>30</t>
  </si>
  <si>
    <t>18</t>
  </si>
  <si>
    <t>19</t>
  </si>
  <si>
    <t>23</t>
  </si>
  <si>
    <t>24</t>
  </si>
  <si>
    <t>PreLayerNo</t>
    <phoneticPr fontId="2" type="noConversion"/>
  </si>
  <si>
    <t>25</t>
  </si>
  <si>
    <t>26</t>
  </si>
  <si>
    <t>27</t>
  </si>
  <si>
    <t>28</t>
  </si>
  <si>
    <t>29</t>
  </si>
  <si>
    <t>HP</t>
  </si>
  <si>
    <t>無敵</t>
  </si>
  <si>
    <t>32</t>
  </si>
  <si>
    <t>34</t>
  </si>
  <si>
    <t>36</t>
  </si>
  <si>
    <t>Layer</t>
    <phoneticPr fontId="2" type="noConversion"/>
  </si>
  <si>
    <t>BOSS</t>
  </si>
  <si>
    <t>順序</t>
    <phoneticPr fontId="2" type="noConversion"/>
  </si>
  <si>
    <t>16</t>
  </si>
  <si>
    <t>17</t>
  </si>
  <si>
    <t>20</t>
  </si>
  <si>
    <t>21</t>
  </si>
  <si>
    <t>22</t>
  </si>
  <si>
    <t>31</t>
  </si>
  <si>
    <t>ParamFormat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</si>
  <si>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</si>
  <si>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</si>
  <si>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</si>
  <si>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</si>
  <si>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</si>
  <si>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</si>
  <si>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</si>
  <si>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</si>
  <si>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</si>
  <si>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</si>
  <si>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</si>
  <si>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</si>
  <si>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</si>
  <si>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</si>
  <si>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</si>
  <si>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</si>
  <si>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</si>
  <si>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</si>
  <si>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</si>
  <si>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</si>
  <si>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</si>
  <si>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</si>
  <si>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</si>
  <si>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</si>
  <si>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</si>
  <si>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</si>
  <si>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</si>
  <si>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</si>
  <si>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</si>
  <si>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</si>
  <si>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</si>
  <si>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</si>
  <si>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</si>
  <si>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</si>
  <si>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</si>
  <si>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</si>
  <si>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</si>
  <si>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</si>
  <si>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</si>
  <si>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</si>
  <si>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</si>
  <si>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</si>
  <si>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</si>
  <si>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33</t>
    <phoneticPr fontId="2" type="noConversion"/>
  </si>
  <si>
    <t>ID</t>
  </si>
  <si>
    <t>40</t>
    <phoneticPr fontId="2" type="noConversion"/>
  </si>
  <si>
    <t>35</t>
    <phoneticPr fontId="2" type="noConversion"/>
  </si>
  <si>
    <t>ParamVals0</t>
    <phoneticPr fontId="2" type="noConversion"/>
  </si>
  <si>
    <t>ParamVals1</t>
  </si>
  <si>
    <t>37</t>
  </si>
  <si>
    <t>38</t>
    <phoneticPr fontId="2" type="noConversion"/>
  </si>
  <si>
    <t>39</t>
    <phoneticPr fontId="2" type="noConversion"/>
  </si>
  <si>
    <t>4</t>
    <phoneticPr fontId="2" type="noConversion"/>
  </si>
  <si>
    <t>45</t>
    <phoneticPr fontId="2" type="noConversion"/>
  </si>
  <si>
    <t>41</t>
  </si>
  <si>
    <t>42</t>
  </si>
  <si>
    <t>43</t>
  </si>
  <si>
    <t>回收時間</t>
  </si>
  <si>
    <t>44</t>
  </si>
  <si>
    <t>下個符卡</t>
  </si>
  <si>
    <t>60</t>
  </si>
  <si>
    <t>移位置</t>
  </si>
  <si>
    <t>46</t>
  </si>
  <si>
    <t>47</t>
  </si>
  <si>
    <t>Range</t>
    <phoneticPr fontId="2" type="noConversion"/>
  </si>
  <si>
    <t>48</t>
    <phoneticPr fontId="2" type="noConversion"/>
  </si>
  <si>
    <t>49</t>
    <phoneticPr fontId="2" type="noConversion"/>
  </si>
  <si>
    <t>50</t>
    <phoneticPr fontId="2" type="noConversion"/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</si>
  <si>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</si>
  <si>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</si>
  <si>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</si>
  <si>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</si>
  <si>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</si>
  <si>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</si>
  <si>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</si>
  <si>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</si>
  <si>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</si>
  <si>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b乘數量加a(0)</t>
    <phoneticPr fontId="2" type="noConversion"/>
  </si>
  <si>
    <t>大小X</t>
  </si>
  <si>
    <t>61</t>
  </si>
  <si>
    <t>62</t>
  </si>
  <si>
    <t>63</t>
  </si>
  <si>
    <t>64</t>
  </si>
  <si>
    <t>時位時間</t>
    <phoneticPr fontId="2" type="noConversion"/>
  </si>
  <si>
    <t>時位位置</t>
    <phoneticPr fontId="2" type="noConversion"/>
  </si>
  <si>
    <t>時位變速點</t>
    <phoneticPr fontId="2" type="noConversion"/>
  </si>
  <si>
    <t>時位開始速度</t>
    <phoneticPr fontId="2" type="noConversion"/>
  </si>
  <si>
    <t>時位結束速度</t>
    <phoneticPr fontId="2" type="noConversion"/>
  </si>
  <si>
    <t>時位移動角度</t>
    <phoneticPr fontId="2" type="noConversion"/>
  </si>
  <si>
    <t>65</t>
  </si>
  <si>
    <t>66</t>
  </si>
  <si>
    <t>67</t>
  </si>
  <si>
    <t>68</t>
  </si>
  <si>
    <t>69</t>
  </si>
  <si>
    <t>70</t>
  </si>
  <si>
    <t>72</t>
    <phoneticPr fontId="2" type="noConversion"/>
  </si>
  <si>
    <t>NewType</t>
    <phoneticPr fontId="2" type="noConversion"/>
  </si>
  <si>
    <t>新位置</t>
    <phoneticPr fontId="2" type="noConversion"/>
  </si>
  <si>
    <t>新角度</t>
    <phoneticPr fontId="2" type="noConversion"/>
  </si>
  <si>
    <t>玩家</t>
  </si>
  <si>
    <t>動畫</t>
  </si>
  <si>
    <t>行動ID</t>
  </si>
  <si>
    <t>啟動依前ID</t>
  </si>
  <si>
    <t>玩家子彈</t>
  </si>
  <si>
    <t>標題</t>
  </si>
  <si>
    <t>對話</t>
  </si>
  <si>
    <t>傷害</t>
  </si>
  <si>
    <t>Name</t>
  </si>
  <si>
    <t>ConfigNo</t>
  </si>
  <si>
    <t>死亡時間</t>
  </si>
  <si>
    <t>最小速度</t>
  </si>
  <si>
    <t>最大速度</t>
  </si>
  <si>
    <t>BOSSDEAD</t>
  </si>
  <si>
    <t>加移動角度</t>
  </si>
  <si>
    <t>最大移動角度</t>
  </si>
  <si>
    <t>最小移動角度</t>
  </si>
  <si>
    <t>旋轉角度</t>
  </si>
  <si>
    <t>加旋轉角度</t>
  </si>
  <si>
    <t>旋轉是移動角度</t>
  </si>
  <si>
    <t>加速度</t>
  </si>
  <si>
    <t>相對位置</t>
  </si>
  <si>
    <t>加大小X</t>
  </si>
  <si>
    <t>加大小Y</t>
  </si>
  <si>
    <t>大小Y</t>
  </si>
  <si>
    <t>加透明</t>
  </si>
  <si>
    <t>透明</t>
  </si>
  <si>
    <t>最大大小X</t>
  </si>
  <si>
    <t>最大大小Y</t>
  </si>
  <si>
    <t>最小大小X</t>
  </si>
  <si>
    <t>最小大小Y</t>
  </si>
  <si>
    <t>貫穿</t>
  </si>
  <si>
    <t>碰撞</t>
  </si>
  <si>
    <t>Sprite</t>
  </si>
  <si>
    <t>ConfigNoAdd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</si>
  <si>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</si>
  <si>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</si>
  <si>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</si>
  <si>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</si>
  <si>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</si>
  <si>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</si>
  <si>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</si>
  <si>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</si>
  <si>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</si>
  <si>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</si>
  <si>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</si>
  <si>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</si>
  <si>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</si>
  <si>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</si>
  <si>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</si>
  <si>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</si>
  <si>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</si>
  <si>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</si>
  <si>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</si>
  <si>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</si>
  <si>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</si>
  <si>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</si>
  <si>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</si>
  <si>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r>
      <rPr>
        <sz val="11"/>
        <rFont val="MS Mincho"/>
        <family val="3"/>
        <charset val="128"/>
      </rPr>
      <t>是界</t>
    </r>
    <r>
      <rPr>
        <sz val="11"/>
        <rFont val="Yu Gothic"/>
        <family val="2"/>
        <charset val="128"/>
      </rPr>
      <t>內</t>
    </r>
    <phoneticPr fontId="2" type="noConversion"/>
  </si>
  <si>
    <t>停止旋轉角度</t>
    <phoneticPr fontId="2" type="noConversion"/>
  </si>
  <si>
    <t>停止移動角度</t>
    <phoneticPr fontId="2" type="noConversion"/>
  </si>
  <si>
    <r>
      <rPr>
        <sz val="11"/>
        <rFont val="Microsoft YaHei"/>
        <family val="2"/>
        <charset val="134"/>
      </rPr>
      <t>啟動依</t>
    </r>
    <r>
      <rPr>
        <sz val="11"/>
        <rFont val="Consolas"/>
        <family val="3"/>
      </rPr>
      <t>ID</t>
    </r>
    <phoneticPr fontId="2" type="noConversion"/>
  </si>
  <si>
    <t>啟動依遊戲時間</t>
    <phoneticPr fontId="2" type="noConversion"/>
  </si>
  <si>
    <t>PosParamType</t>
    <phoneticPr fontId="2" type="noConversion"/>
  </si>
  <si>
    <t>位置參數角距距離</t>
    <phoneticPr fontId="2" type="noConversion"/>
  </si>
  <si>
    <t>位置參數角距角度</t>
    <phoneticPr fontId="2" type="noConversion"/>
  </si>
  <si>
    <t>AngleParamType</t>
    <phoneticPr fontId="2" type="noConversion"/>
  </si>
  <si>
    <t>PosParamType</t>
  </si>
  <si>
    <t>玩家遊戲時間</t>
    <phoneticPr fontId="2" type="noConversion"/>
  </si>
  <si>
    <t>71</t>
    <phoneticPr fontId="2" type="noConversion"/>
  </si>
  <si>
    <t>下一關</t>
    <phoneticPr fontId="2" type="noConversion"/>
  </si>
  <si>
    <t>復位</t>
    <phoneticPr fontId="2" type="noConversion"/>
  </si>
  <si>
    <t>新位置角度</t>
    <phoneticPr fontId="2" type="noConversion"/>
  </si>
  <si>
    <t>位置Config</t>
    <phoneticPr fontId="2" type="noConversion"/>
  </si>
  <si>
    <t>角度Config</t>
    <phoneticPr fontId="2" type="noConversion"/>
  </si>
  <si>
    <t>73</t>
  </si>
  <si>
    <t>74</t>
  </si>
  <si>
    <t>玩家子彈間隔</t>
    <phoneticPr fontId="2" type="noConversion"/>
  </si>
  <si>
    <t>加位置</t>
    <phoneticPr fontId="2" type="noConversion"/>
  </si>
  <si>
    <t>75</t>
  </si>
  <si>
    <t>加角度</t>
    <phoneticPr fontId="2" type="noConversion"/>
  </si>
  <si>
    <t>76</t>
  </si>
  <si>
    <t>新參照位置</t>
    <phoneticPr fontId="2" type="noConversion"/>
  </si>
  <si>
    <t>7</t>
    <phoneticPr fontId="2" type="noConversion"/>
  </si>
  <si>
    <t>新參照位置12</t>
    <phoneticPr fontId="2" type="noConversion"/>
  </si>
  <si>
    <t>新參照角度</t>
    <phoneticPr fontId="2" type="noConversion"/>
  </si>
  <si>
    <t>玩家Power需求</t>
    <phoneticPr fontId="2" type="noConversion"/>
  </si>
  <si>
    <t>77</t>
    <phoneticPr fontId="2" type="noConversion"/>
  </si>
  <si>
    <t>玩家Shift</t>
    <phoneticPr fontId="2" type="noConversion"/>
  </si>
  <si>
    <t>78</t>
    <phoneticPr fontId="2" type="noConversion"/>
  </si>
  <si>
    <t>玩家子彈延遲</t>
    <phoneticPr fontId="2" type="noConversion"/>
  </si>
  <si>
    <t>79</t>
    <phoneticPr fontId="2" type="noConversion"/>
  </si>
  <si>
    <t>Power</t>
    <phoneticPr fontId="2" type="noConversion"/>
  </si>
  <si>
    <t>80</t>
  </si>
  <si>
    <t>Power掉落</t>
    <phoneticPr fontId="2" type="noConversion"/>
  </si>
  <si>
    <t>81</t>
    <phoneticPr fontId="2" type="noConversion"/>
  </si>
  <si>
    <t>啟動依玩家死亡</t>
    <phoneticPr fontId="2" type="noConversion"/>
  </si>
  <si>
    <t>82</t>
    <phoneticPr fontId="2" type="noConversion"/>
  </si>
  <si>
    <t>行動ID結束</t>
    <phoneticPr fontId="2" type="noConversion"/>
  </si>
  <si>
    <t>83</t>
    <phoneticPr fontId="2" type="noConversion"/>
  </si>
  <si>
    <t>創造依ID</t>
    <phoneticPr fontId="2" type="noConversion"/>
  </si>
  <si>
    <t>84</t>
    <phoneticPr fontId="2" type="noConversion"/>
  </si>
  <si>
    <t>創造位置</t>
    <phoneticPr fontId="2" type="noConversion"/>
  </si>
  <si>
    <t>85</t>
    <phoneticPr fontId="2" type="noConversion"/>
  </si>
  <si>
    <t>創造依遊戲時間</t>
    <phoneticPr fontId="2" type="noConversion"/>
  </si>
  <si>
    <t>86</t>
  </si>
  <si>
    <t>啟動位置是活動</t>
    <phoneticPr fontId="2" type="noConversion"/>
  </si>
  <si>
    <t>87</t>
  </si>
  <si>
    <t>Self = 1,
Parent = 2,
Player = 3,
Boss = 4,
Center=5,
BossHome=6,</t>
    <phoneticPr fontId="2" type="noConversion"/>
  </si>
  <si>
    <t>啟動依開始時間循環</t>
    <phoneticPr fontId="2" type="noConversion"/>
  </si>
  <si>
    <t>88</t>
  </si>
  <si>
    <t>120</t>
    <phoneticPr fontId="2" type="noConversion"/>
  </si>
  <si>
    <t>115</t>
    <phoneticPr fontId="2" type="noConversion"/>
  </si>
  <si>
    <t>96</t>
    <phoneticPr fontId="2" type="noConversion"/>
  </si>
  <si>
    <t>角度ID旋轉</t>
    <phoneticPr fontId="2" type="noConversion"/>
  </si>
  <si>
    <t>角度ID旋轉</t>
  </si>
  <si>
    <t>加ID</t>
    <phoneticPr fontId="2" type="noConversion"/>
  </si>
  <si>
    <t>89</t>
    <phoneticPr fontId="2" type="noConversion"/>
  </si>
  <si>
    <t>11</t>
    <phoneticPr fontId="2" type="noConversion"/>
  </si>
  <si>
    <t>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</si>
</sst>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1"/>
      <name val="Consolas"/>
      <family val="3"/>
      <charset val="128"/>
    </font>
    <font>
      <sz val="11"/>
      <name val="MS Mincho"/>
      <family val="3"/>
      <charset val="128"/>
    </font>
    <font>
      <sz val="11"/>
      <name val="Yu Gothic"/>
      <family val="2"/>
      <charset val="128"/>
    </font>
    <font>
      <sz val="11"/>
      <name val="Consolas"/>
      <family val="2"/>
      <charset val="134"/>
    </font>
    <font>
      <sz val="11"/>
      <name val="Microsoft YaHei"/>
      <family val="2"/>
      <charset val="134"/>
    </font>
    <font>
      <sz val="10"/>
      <name val="新細明體"/>
      <family val="1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0" fontId="35" fillId="0" borderId="0" xfId="0" applyFont="1">
      <alignment vertical="center"/>
    </xf>
    <xf numFmtId="0" fontId="37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40"/>
  <sheetViews>
    <sheetView tabSelected="1" zoomScale="115" zoomScaleNormal="115" workbookViewId="0">
      <pane ySplit="1" topLeftCell="A18" activePane="bottomLeft" state="frozen"/>
      <selection pane="bottomLeft" activeCell="F40" sqref="F40"/>
    </sheetView>
  </sheetViews>
  <sheetFormatPr defaultRowHeight="19.5"/>
  <cols>
    <col min="1" max="2" width="9" style="9"/>
    <col min="3" max="3" width="5.875" style="25" customWidth="1"/>
    <col min="4" max="4" width="6.125" style="25" customWidth="1"/>
    <col min="5" max="5" width="9" style="25"/>
    <col min="6" max="6" width="20.5" style="9" bestFit="1" customWidth="1"/>
    <col min="7" max="7" width="7.375" style="25" customWidth="1"/>
    <col min="8" max="8" width="5" style="25" customWidth="1"/>
    <col min="9" max="9" width="5.125" style="25" customWidth="1"/>
    <col min="10" max="11" width="9" style="9"/>
    <col min="12" max="12" width="17.5" style="9" bestFit="1" customWidth="1"/>
    <col min="13" max="13" width="20.25" style="9" bestFit="1" customWidth="1"/>
    <col min="14" max="14" width="14.625" style="9" bestFit="1" customWidth="1"/>
    <col min="15" max="15" width="12.625" style="9" bestFit="1" customWidth="1"/>
    <col min="16" max="16" width="24.375" style="25" bestFit="1" customWidth="1"/>
    <col min="17" max="17" width="16.125" style="25" bestFit="1" customWidth="1"/>
    <col min="18" max="18" width="16.125" style="9" customWidth="1"/>
    <col min="19" max="19" width="12.625" style="9" bestFit="1" customWidth="1"/>
    <col min="20" max="20" width="13.875" style="9" bestFit="1" customWidth="1"/>
    <col min="21" max="21" width="9" style="9"/>
    <col min="22" max="22" width="8" style="9" bestFit="1" customWidth="1"/>
    <col min="23" max="23" width="9.25" style="12" bestFit="1" customWidth="1"/>
    <col min="24" max="24" width="13.875" style="9" bestFit="1" customWidth="1"/>
    <col min="25" max="25" width="13.25" style="9" bestFit="1" customWidth="1"/>
    <col min="26" max="26" width="10.5" style="12" bestFit="1" customWidth="1"/>
    <col min="27" max="27" width="16.125" style="12" bestFit="1" customWidth="1"/>
    <col min="28" max="28" width="16.125" style="12" customWidth="1"/>
    <col min="29" max="30" width="16.125" style="15" bestFit="1" customWidth="1"/>
    <col min="31" max="35" width="13.25" style="15" bestFit="1" customWidth="1"/>
    <col min="36" max="37" width="13.25" style="16" bestFit="1" customWidth="1"/>
    <col min="38" max="64" width="14.625" style="16" bestFit="1" customWidth="1"/>
    <col min="65" max="16384" width="9" style="9"/>
  </cols>
  <sheetData>
    <row r="1" spans="1:60" s="17" customFormat="1">
      <c r="A1" s="17" t="s">
        <v>294</v>
      </c>
      <c r="B1" s="17" t="s">
        <v>295</v>
      </c>
      <c r="C1" s="26"/>
      <c r="D1" s="26"/>
      <c r="E1" s="26" t="s">
        <v>69</v>
      </c>
      <c r="F1" s="19" t="s">
        <v>27</v>
      </c>
      <c r="G1" s="26"/>
      <c r="H1" s="26"/>
      <c r="I1" s="26"/>
      <c r="L1" s="17" t="s">
        <v>239</v>
      </c>
      <c r="M1" s="17" t="s">
        <v>242</v>
      </c>
      <c r="N1" s="17" t="s">
        <v>76</v>
      </c>
      <c r="O1" s="6" t="s">
        <v>56</v>
      </c>
      <c r="P1" s="25" t="s">
        <v>124</v>
      </c>
      <c r="Q1" s="25"/>
      <c r="R1" s="6" t="s">
        <v>125</v>
      </c>
      <c r="S1" s="6" t="s">
        <v>78</v>
      </c>
      <c r="T1" s="6" t="s">
        <v>79</v>
      </c>
      <c r="U1" s="6" t="s">
        <v>80</v>
      </c>
      <c r="V1" s="6" t="s">
        <v>81</v>
      </c>
      <c r="W1" s="6" t="s">
        <v>82</v>
      </c>
      <c r="X1" s="6" t="s">
        <v>83</v>
      </c>
      <c r="Y1" s="6" t="s">
        <v>84</v>
      </c>
      <c r="Z1" s="6" t="s">
        <v>85</v>
      </c>
      <c r="AA1" s="6" t="s">
        <v>86</v>
      </c>
      <c r="AB1" s="6" t="s">
        <v>87</v>
      </c>
      <c r="AC1" s="6" t="s">
        <v>88</v>
      </c>
      <c r="AD1" s="6" t="s">
        <v>89</v>
      </c>
      <c r="AE1" s="6" t="s">
        <v>90</v>
      </c>
      <c r="AF1" s="6" t="s">
        <v>91</v>
      </c>
      <c r="AG1" s="6" t="s">
        <v>92</v>
      </c>
      <c r="AH1" s="6" t="s">
        <v>93</v>
      </c>
      <c r="AI1" s="6" t="s">
        <v>94</v>
      </c>
      <c r="AJ1" s="6" t="s">
        <v>95</v>
      </c>
      <c r="AK1" s="6" t="s">
        <v>96</v>
      </c>
      <c r="AL1" s="6" t="s">
        <v>97</v>
      </c>
      <c r="AM1" s="6" t="s">
        <v>98</v>
      </c>
      <c r="AN1" s="6" t="s">
        <v>99</v>
      </c>
      <c r="AO1" s="6" t="s">
        <v>100</v>
      </c>
      <c r="AP1" s="6" t="s">
        <v>101</v>
      </c>
      <c r="AQ1" s="6" t="s">
        <v>102</v>
      </c>
      <c r="AR1" s="6" t="s">
        <v>103</v>
      </c>
      <c r="AS1" s="6" t="s">
        <v>104</v>
      </c>
      <c r="AT1" s="6" t="s">
        <v>105</v>
      </c>
      <c r="AU1" s="6" t="s">
        <v>106</v>
      </c>
      <c r="AV1" s="6" t="s">
        <v>107</v>
      </c>
      <c r="AW1" s="6" t="s">
        <v>108</v>
      </c>
      <c r="AX1" s="6" t="s">
        <v>109</v>
      </c>
      <c r="AY1" s="6" t="s">
        <v>110</v>
      </c>
      <c r="AZ1" s="6" t="s">
        <v>111</v>
      </c>
      <c r="BA1" s="6" t="s">
        <v>112</v>
      </c>
      <c r="BB1" s="6" t="s">
        <v>113</v>
      </c>
      <c r="BC1" s="6" t="s">
        <v>114</v>
      </c>
      <c r="BD1" s="6" t="s">
        <v>115</v>
      </c>
      <c r="BE1" s="6" t="s">
        <v>116</v>
      </c>
      <c r="BF1" s="6" t="s">
        <v>117</v>
      </c>
      <c r="BG1" s="6" t="s">
        <v>118</v>
      </c>
      <c r="BH1" s="6" t="s">
        <v>119</v>
      </c>
    </row>
    <row r="2" spans="1:60">
      <c r="C2" s="25" t="s">
        <v>231</v>
      </c>
    </row>
    <row r="3" spans="1:60">
      <c r="C3" s="25" t="s">
        <v>232</v>
      </c>
    </row>
    <row r="4" spans="1:60">
      <c r="C4" s="25" t="s">
        <v>233</v>
      </c>
    </row>
    <row r="8" spans="1:60">
      <c r="R8" s="25"/>
    </row>
    <row r="9" spans="1:60">
      <c r="R9" s="25"/>
    </row>
    <row r="10" spans="1:60">
      <c r="R10" s="25"/>
    </row>
    <row r="11" spans="1:60">
      <c r="R11" s="25"/>
    </row>
    <row r="12" spans="1:60">
      <c r="R12" s="25"/>
    </row>
    <row r="13" spans="1:60">
      <c r="R13" s="25"/>
    </row>
    <row r="14" spans="1:60">
      <c r="R14" s="25"/>
    </row>
    <row r="15" spans="1:60">
      <c r="R15" s="25"/>
    </row>
    <row r="16" spans="1:60">
      <c r="R16" s="25"/>
    </row>
    <row r="17" spans="1:18">
      <c r="R17" s="25"/>
    </row>
    <row r="18" spans="1:18">
      <c r="R18" s="25"/>
    </row>
    <row r="19" spans="1:18">
      <c r="R19" s="25"/>
    </row>
    <row r="20" spans="1:18">
      <c r="R20" s="25"/>
    </row>
    <row r="21" spans="1:18">
      <c r="R21" s="25"/>
    </row>
    <row r="22" spans="1:18">
      <c r="R22" s="25"/>
    </row>
    <row r="24" spans="1:18">
      <c r="A24" s="25"/>
      <c r="C24" s="9"/>
      <c r="D24" s="9"/>
    </row>
    <row r="25" spans="1:18">
      <c r="B25" s="25"/>
    </row>
    <row r="26" spans="1:18">
      <c r="R26" s="25"/>
    </row>
    <row r="27" spans="1:18">
      <c r="R27" s="25"/>
    </row>
    <row r="28" spans="1:18">
      <c r="G28" s="25">
        <v>1</v>
      </c>
      <c r="H28" s="27">
        <v>-4</v>
      </c>
      <c r="I28" s="28">
        <v>3</v>
      </c>
      <c r="J28" s="25">
        <v>60</v>
      </c>
      <c r="K28" s="28">
        <v>0.5</v>
      </c>
      <c r="O28" s="25">
        <f>I28*20</f>
        <v>60</v>
      </c>
      <c r="R28" s="25"/>
    </row>
    <row r="29" spans="1:18">
      <c r="G29" s="25">
        <v>2</v>
      </c>
      <c r="H29" s="27">
        <v>-3.2</v>
      </c>
      <c r="I29" s="28">
        <v>1.2</v>
      </c>
      <c r="J29" s="9" t="s">
        <v>289</v>
      </c>
      <c r="K29" s="28">
        <v>0.55000000000000004</v>
      </c>
      <c r="O29" s="25">
        <f t="shared" ref="O29:O38" si="0">I29*20</f>
        <v>24</v>
      </c>
      <c r="R29" s="25"/>
    </row>
    <row r="30" spans="1:18">
      <c r="G30" s="25">
        <v>3</v>
      </c>
      <c r="H30" s="27">
        <v>-2.4</v>
      </c>
      <c r="I30" s="28">
        <v>0.60000000000000009</v>
      </c>
      <c r="J30" s="25">
        <v>12.000000000000002</v>
      </c>
      <c r="K30" s="28">
        <v>0.4</v>
      </c>
      <c r="O30" s="25">
        <f t="shared" si="0"/>
        <v>12.000000000000002</v>
      </c>
      <c r="R30" s="25"/>
    </row>
    <row r="31" spans="1:18">
      <c r="G31" s="25">
        <v>4</v>
      </c>
      <c r="H31" s="27">
        <v>-1.6</v>
      </c>
      <c r="I31" s="28">
        <v>0.25</v>
      </c>
      <c r="J31" s="9" t="s">
        <v>288</v>
      </c>
      <c r="K31" s="28">
        <v>0.55000000000000004</v>
      </c>
      <c r="O31" s="25">
        <f t="shared" si="0"/>
        <v>5</v>
      </c>
      <c r="R31" s="25"/>
    </row>
    <row r="32" spans="1:18">
      <c r="G32" s="25">
        <v>5</v>
      </c>
      <c r="H32" s="27">
        <v>-0.8</v>
      </c>
      <c r="I32" s="27">
        <v>6.0000000000000053E-2</v>
      </c>
      <c r="J32" s="25">
        <v>1</v>
      </c>
      <c r="K32" s="28">
        <v>0.4</v>
      </c>
      <c r="O32" s="25">
        <f t="shared" si="0"/>
        <v>1.2000000000000011</v>
      </c>
      <c r="R32" s="25"/>
    </row>
    <row r="33" spans="1:18">
      <c r="G33" s="25">
        <v>6</v>
      </c>
      <c r="H33" s="27">
        <v>0</v>
      </c>
      <c r="I33" s="27">
        <v>0</v>
      </c>
      <c r="J33" s="9" t="s">
        <v>287</v>
      </c>
      <c r="K33" s="28">
        <v>0.55000000000000004</v>
      </c>
      <c r="O33" s="25">
        <f t="shared" si="0"/>
        <v>0</v>
      </c>
      <c r="R33" s="25"/>
    </row>
    <row r="34" spans="1:18">
      <c r="G34" s="25">
        <v>7</v>
      </c>
      <c r="H34" s="27">
        <v>0.8</v>
      </c>
      <c r="I34" s="27">
        <v>6.0000000000000053E-2</v>
      </c>
      <c r="J34" s="25">
        <v>1</v>
      </c>
      <c r="K34" s="28">
        <v>0.4</v>
      </c>
      <c r="O34" s="25">
        <f t="shared" si="0"/>
        <v>1.2000000000000011</v>
      </c>
      <c r="R34" s="25"/>
    </row>
    <row r="35" spans="1:18">
      <c r="G35" s="25">
        <v>8</v>
      </c>
      <c r="H35" s="27">
        <v>1.6</v>
      </c>
      <c r="I35" s="28">
        <v>0.25</v>
      </c>
      <c r="J35" s="9" t="s">
        <v>288</v>
      </c>
      <c r="K35" s="28">
        <v>0.55000000000000004</v>
      </c>
      <c r="O35" s="25">
        <f t="shared" si="0"/>
        <v>5</v>
      </c>
      <c r="R35" s="25"/>
    </row>
    <row r="36" spans="1:18">
      <c r="G36" s="25">
        <v>9</v>
      </c>
      <c r="H36" s="27">
        <v>2.4</v>
      </c>
      <c r="I36" s="28">
        <v>0.60000000000000009</v>
      </c>
      <c r="J36" s="25">
        <v>12.000000000000002</v>
      </c>
      <c r="K36" s="28">
        <v>0.4</v>
      </c>
      <c r="O36" s="25">
        <f t="shared" si="0"/>
        <v>12.000000000000002</v>
      </c>
    </row>
    <row r="37" spans="1:18">
      <c r="G37" s="25">
        <v>10</v>
      </c>
      <c r="H37" s="27">
        <v>3.2</v>
      </c>
      <c r="I37" s="28">
        <v>1.2</v>
      </c>
      <c r="J37" s="9" t="s">
        <v>289</v>
      </c>
      <c r="K37" s="28">
        <v>0.55000000000000004</v>
      </c>
      <c r="O37" s="25">
        <f t="shared" si="0"/>
        <v>24</v>
      </c>
    </row>
    <row r="38" spans="1:18">
      <c r="G38" s="25">
        <v>11</v>
      </c>
      <c r="H38" s="27">
        <v>4</v>
      </c>
      <c r="I38" s="28">
        <v>3</v>
      </c>
      <c r="J38" s="25">
        <v>60</v>
      </c>
      <c r="K38" s="28">
        <v>0.5</v>
      </c>
      <c r="O38" s="25">
        <f t="shared" si="0"/>
        <v>60</v>
      </c>
    </row>
    <row r="39" spans="1:18">
      <c r="I39" s="28"/>
      <c r="J39" s="25"/>
      <c r="K39" s="25"/>
    </row>
    <row r="40" spans="1:18">
      <c r="A40" s="25"/>
      <c r="C40" s="9"/>
      <c r="D40" s="9"/>
      <c r="P40" s="25">
        <v>1903200</v>
      </c>
    </row>
  </sheetData>
  <autoFilter ref="D1:D25" xr:uid="{00000000-0001-0000-0000-000000000000}"/>
  <phoneticPr fontId="2" type="noConversion"/>
  <conditionalFormatting sqref="O1">
    <cfRule type="duplicateValues" dxfId="53" priority="1590"/>
  </conditionalFormatting>
  <conditionalFormatting sqref="P1:BH1">
    <cfRule type="duplicateValues" dxfId="52" priority="1584"/>
  </conditionalFormatting>
  <conditionalFormatting sqref="BI1:XFD1 E1:I1 N1">
    <cfRule type="duplicateValues" dxfId="51" priority="1669"/>
  </conditionalFormatting>
  <conditionalFormatting sqref="F1:F40">
    <cfRule type="cellIs" dxfId="50" priority="1170" operator="equal">
      <formula>"ID"</formula>
    </cfRule>
    <cfRule type="cellIs" dxfId="49" priority="1585" operator="equal">
      <formula>"行動序號"</formula>
    </cfRule>
  </conditionalFormatting>
  <conditionalFormatting sqref="Q8:R22 P1:Q25 P36:P39 P26:R35 P40:Q40">
    <cfRule type="expression" dxfId="48" priority="1589">
      <formula>OR($F1="行動序號",$F1="ID")</formula>
    </cfRule>
  </conditionalFormatting>
  <conditionalFormatting sqref="Q8:R22 P1:Q25 P36:P39 P26:R35 P40:Q40">
    <cfRule type="expression" dxfId="47" priority="1056">
      <formula>$F1="行動ID"</formula>
    </cfRule>
  </conditionalFormatting>
  <conditionalFormatting sqref="J1:K1">
    <cfRule type="duplicateValues" dxfId="46" priority="1168"/>
  </conditionalFormatting>
  <conditionalFormatting sqref="L1:M1">
    <cfRule type="duplicateValues" dxfId="45" priority="1165"/>
  </conditionalFormatting>
  <conditionalFormatting sqref="Q8:R22 P1:Q25 P36:P39 P26:R35 P40:Q40">
    <cfRule type="expression" dxfId="44" priority="1672">
      <formula>$E1&gt;0</formula>
    </cfRule>
  </conditionalFormatting>
  <conditionalFormatting sqref="Q1:Q35 Q40">
    <cfRule type="expression" dxfId="43" priority="780">
      <formula>_xlfn.ISFORMULA(Q1)</formula>
    </cfRule>
  </conditionalFormatting>
  <dataValidations count="1">
    <dataValidation type="list" allowBlank="1" showInputMessage="1" showErrorMessage="1" sqref="M5 F8:P13 M22 M15 M40 M19 M36 L28:L29 L32:L36 F28 M30 M32:M33 F40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13027-E38E-4701-9BD7-C19A4440D9E2}">
  <sheetPr codeName="AliasSheet"/>
  <dimension ref="A1:J84"/>
  <sheetViews>
    <sheetView workbookViewId="0">
      <selection activeCell="G19" sqref="G19"/>
    </sheetView>
  </sheetViews>
  <sheetFormatPr defaultRowHeight="16.5"/>
  <cols>
    <col min="1" max="1" width="9" style="9"/>
    <col min="2" max="2" width="13.25" style="9" bestFit="1" customWidth="1"/>
    <col min="3" max="5" width="9" style="9"/>
    <col min="6" max="6" width="13.875" style="9" bestFit="1" customWidth="1"/>
    <col min="7" max="8" width="13.875" style="9" customWidth="1"/>
    <col min="9" max="9" width="11.625" style="9" bestFit="1" customWidth="1"/>
    <col min="10" max="10" width="13" bestFit="1" customWidth="1"/>
  </cols>
  <sheetData>
    <row r="1" spans="1:10" s="6" customFormat="1" ht="19.5">
      <c r="A1" s="17" t="s">
        <v>69</v>
      </c>
      <c r="B1" s="17" t="s">
        <v>27</v>
      </c>
      <c r="C1" s="17" t="s">
        <v>67</v>
      </c>
      <c r="D1" s="17" t="s">
        <v>141</v>
      </c>
      <c r="E1" s="17" t="s">
        <v>173</v>
      </c>
      <c r="F1" s="17" t="s">
        <v>242</v>
      </c>
      <c r="G1" s="17" t="s">
        <v>239</v>
      </c>
      <c r="H1" s="17" t="s">
        <v>76</v>
      </c>
      <c r="I1" s="6" t="s">
        <v>56</v>
      </c>
      <c r="J1" s="6" t="s">
        <v>39</v>
      </c>
    </row>
    <row r="2" spans="1:10">
      <c r="A2" s="9" t="s">
        <v>77</v>
      </c>
      <c r="B2" s="9" t="s">
        <v>28</v>
      </c>
      <c r="C2" s="9" t="s">
        <v>67</v>
      </c>
      <c r="D2" s="9" t="s">
        <v>141</v>
      </c>
      <c r="E2" s="9" t="s">
        <v>173</v>
      </c>
      <c r="F2" s="9" t="s">
        <v>242</v>
      </c>
      <c r="G2" s="9" t="s">
        <v>243</v>
      </c>
      <c r="H2" s="9" t="s">
        <v>38</v>
      </c>
      <c r="I2" s="9" t="s">
        <v>56</v>
      </c>
      <c r="J2" s="9" t="s">
        <v>39</v>
      </c>
    </row>
    <row r="56" spans="1:9">
      <c r="A56" s="14"/>
      <c r="B56" s="14"/>
      <c r="C56" s="14"/>
      <c r="D56" s="14"/>
      <c r="E56" s="14"/>
      <c r="F56" s="14"/>
      <c r="G56" s="14"/>
      <c r="H56" s="14"/>
      <c r="I56" s="14"/>
    </row>
    <row r="63" spans="1:9">
      <c r="A63" s="14"/>
      <c r="B63" s="14"/>
      <c r="C63" s="14"/>
      <c r="D63" s="14"/>
      <c r="E63" s="14"/>
      <c r="F63" s="14"/>
      <c r="G63" s="14"/>
      <c r="H63" s="14"/>
      <c r="I63" s="14"/>
    </row>
    <row r="73" spans="1:9">
      <c r="A73" s="14"/>
      <c r="B73" s="14"/>
      <c r="C73" s="14"/>
      <c r="D73" s="14"/>
      <c r="E73" s="14"/>
      <c r="F73" s="14"/>
      <c r="G73" s="14"/>
      <c r="H73" s="14"/>
      <c r="I73" s="14"/>
    </row>
    <row r="84" spans="1:9">
      <c r="A84" s="13"/>
      <c r="B84" s="13"/>
      <c r="C84" s="13"/>
      <c r="D84" s="13"/>
      <c r="E84" s="13"/>
      <c r="F84" s="13"/>
      <c r="G84" s="13"/>
      <c r="H84" s="13"/>
      <c r="I84" s="13"/>
    </row>
  </sheetData>
  <phoneticPr fontId="2" type="noConversion"/>
  <conditionalFormatting sqref="J1:XFD1">
    <cfRule type="duplicateValues" dxfId="42" priority="2"/>
  </conditionalFormatting>
  <conditionalFormatting sqref="I1">
    <cfRule type="duplicateValues" dxfId="41" priority="1"/>
  </conditionalFormatting>
  <conditionalFormatting sqref="A1:H1">
    <cfRule type="duplicateValues" dxfId="40" priority="3"/>
  </conditionalFormatting>
  <dataValidations count="1">
    <dataValidation type="list" allowBlank="1" showInputMessage="1" showErrorMessage="1" sqref="B2" xr:uid="{A9041AD9-0A2C-4D4D-B944-0C5C9897B672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40EE-5FF4-4B2A-8567-B66F5BF35E71}">
  <sheetPr codeName="DefineSheet"/>
  <dimension ref="A1:K112"/>
  <sheetViews>
    <sheetView topLeftCell="A82" workbookViewId="0">
      <selection activeCell="G19" sqref="G19"/>
    </sheetView>
  </sheetViews>
  <sheetFormatPr defaultRowHeight="16.5"/>
  <cols>
    <col min="1" max="1" width="19.75" style="7" bestFit="1" customWidth="1"/>
    <col min="2" max="2" width="20.625" style="9" customWidth="1"/>
    <col min="3" max="3" width="24.625" style="7" bestFit="1" customWidth="1"/>
    <col min="4" max="4" width="9" style="7"/>
    <col min="6" max="16384" width="9" style="7"/>
  </cols>
  <sheetData>
    <row r="1" spans="1:9" s="6" customFormat="1">
      <c r="A1" s="6" t="s">
        <v>1</v>
      </c>
      <c r="B1" s="6" t="s">
        <v>18</v>
      </c>
      <c r="C1" s="6" t="s">
        <v>17</v>
      </c>
      <c r="E1" s="5"/>
    </row>
    <row r="2" spans="1:9">
      <c r="A2" s="7" t="s">
        <v>38</v>
      </c>
      <c r="B2" s="4" t="s">
        <v>40</v>
      </c>
      <c r="C2" s="7" t="s">
        <v>21</v>
      </c>
    </row>
    <row r="3" spans="1:9">
      <c r="A3" s="7" t="s">
        <v>38</v>
      </c>
      <c r="B3" s="4" t="s">
        <v>154</v>
      </c>
      <c r="C3" s="7" t="s">
        <v>25</v>
      </c>
    </row>
    <row r="4" spans="1:9">
      <c r="B4" s="4"/>
    </row>
    <row r="5" spans="1:9">
      <c r="A5" s="7" t="s">
        <v>27</v>
      </c>
      <c r="B5" s="20" t="s">
        <v>121</v>
      </c>
      <c r="C5" s="7" t="s">
        <v>21</v>
      </c>
      <c r="E5" t="str">
        <f t="shared" ref="E5:E68" si="0">B5&amp;","</f>
        <v>ID,</v>
      </c>
    </row>
    <row r="6" spans="1:9">
      <c r="A6" s="7" t="s">
        <v>27</v>
      </c>
      <c r="B6" s="20" t="s">
        <v>178</v>
      </c>
      <c r="C6" s="7" t="s">
        <v>41</v>
      </c>
      <c r="E6" t="str">
        <f t="shared" si="0"/>
        <v>行動ID,</v>
      </c>
    </row>
    <row r="7" spans="1:9">
      <c r="A7" s="7" t="s">
        <v>27</v>
      </c>
      <c r="B7" s="20" t="s">
        <v>176</v>
      </c>
      <c r="C7" s="7" t="s">
        <v>42</v>
      </c>
      <c r="E7" t="str">
        <f t="shared" si="0"/>
        <v>玩家,</v>
      </c>
    </row>
    <row r="8" spans="1:9">
      <c r="A8" s="7" t="s">
        <v>27</v>
      </c>
      <c r="B8" s="20" t="s">
        <v>180</v>
      </c>
      <c r="C8" s="7" t="s">
        <v>22</v>
      </c>
      <c r="E8" t="str">
        <f t="shared" si="0"/>
        <v>玩家子彈,</v>
      </c>
    </row>
    <row r="9" spans="1:9">
      <c r="A9" s="7" t="s">
        <v>27</v>
      </c>
      <c r="B9" s="20" t="s">
        <v>68</v>
      </c>
      <c r="C9" s="7" t="s">
        <v>23</v>
      </c>
      <c r="E9" t="str">
        <f t="shared" si="0"/>
        <v>BOSS,</v>
      </c>
      <c r="I9" s="10"/>
    </row>
    <row r="10" spans="1:9">
      <c r="A10" s="7" t="s">
        <v>27</v>
      </c>
      <c r="B10" s="20" t="s">
        <v>31</v>
      </c>
      <c r="C10" s="7" t="s">
        <v>34</v>
      </c>
      <c r="E10" t="str">
        <f t="shared" si="0"/>
        <v>物件,</v>
      </c>
      <c r="I10" s="11"/>
    </row>
    <row r="11" spans="1:9">
      <c r="A11" s="7" t="s">
        <v>27</v>
      </c>
      <c r="B11" s="20" t="s">
        <v>30</v>
      </c>
      <c r="C11" s="7" t="s">
        <v>43</v>
      </c>
      <c r="E11" t="str">
        <f t="shared" si="0"/>
        <v>時間,</v>
      </c>
      <c r="I11" s="11"/>
    </row>
    <row r="12" spans="1:9">
      <c r="A12" s="7" t="s">
        <v>27</v>
      </c>
      <c r="B12" s="20" t="s">
        <v>50</v>
      </c>
      <c r="C12" s="7" t="s">
        <v>35</v>
      </c>
      <c r="E12" t="str">
        <f t="shared" si="0"/>
        <v>符卡,</v>
      </c>
      <c r="I12" s="11"/>
    </row>
    <row r="13" spans="1:9">
      <c r="A13" s="7" t="s">
        <v>27</v>
      </c>
      <c r="B13" s="20" t="s">
        <v>181</v>
      </c>
      <c r="C13" s="7" t="s">
        <v>44</v>
      </c>
      <c r="E13" t="str">
        <f t="shared" si="0"/>
        <v>標題,</v>
      </c>
      <c r="I13" s="11"/>
    </row>
    <row r="14" spans="1:9">
      <c r="A14" s="7" t="s">
        <v>27</v>
      </c>
      <c r="B14" s="20" t="s">
        <v>182</v>
      </c>
      <c r="C14" s="7" t="s">
        <v>36</v>
      </c>
      <c r="E14" t="str">
        <f t="shared" si="0"/>
        <v>對話,</v>
      </c>
      <c r="I14" s="11"/>
    </row>
    <row r="15" spans="1:9">
      <c r="A15" s="7" t="s">
        <v>27</v>
      </c>
      <c r="B15" s="20" t="s">
        <v>183</v>
      </c>
      <c r="C15" s="7" t="s">
        <v>45</v>
      </c>
      <c r="E15" t="str">
        <f t="shared" si="0"/>
        <v>傷害,</v>
      </c>
    </row>
    <row r="16" spans="1:9">
      <c r="A16" s="7" t="s">
        <v>27</v>
      </c>
      <c r="B16" s="20" t="s">
        <v>177</v>
      </c>
      <c r="C16" s="7" t="s">
        <v>46</v>
      </c>
      <c r="E16" t="str">
        <f t="shared" si="0"/>
        <v>動畫,</v>
      </c>
    </row>
    <row r="17" spans="1:6">
      <c r="A17" s="7" t="s">
        <v>27</v>
      </c>
      <c r="B17" s="20" t="s">
        <v>184</v>
      </c>
      <c r="C17" s="7" t="s">
        <v>47</v>
      </c>
      <c r="E17" t="str">
        <f t="shared" si="0"/>
        <v>Name,</v>
      </c>
    </row>
    <row r="18" spans="1:6">
      <c r="A18" s="7" t="s">
        <v>27</v>
      </c>
      <c r="B18" s="20" t="s">
        <v>62</v>
      </c>
      <c r="C18" s="7" t="s">
        <v>48</v>
      </c>
      <c r="E18" t="str">
        <f t="shared" si="0"/>
        <v>HP,</v>
      </c>
    </row>
    <row r="19" spans="1:6">
      <c r="A19" s="7" t="s">
        <v>27</v>
      </c>
      <c r="B19" s="20" t="s">
        <v>29</v>
      </c>
      <c r="C19" s="7" t="s">
        <v>49</v>
      </c>
      <c r="E19" t="str">
        <f t="shared" si="0"/>
        <v>數量,</v>
      </c>
    </row>
    <row r="20" spans="1:6">
      <c r="A20" s="7" t="s">
        <v>27</v>
      </c>
      <c r="B20" s="20" t="s">
        <v>185</v>
      </c>
      <c r="C20" s="7" t="s">
        <v>70</v>
      </c>
      <c r="E20" t="str">
        <f t="shared" si="0"/>
        <v>ConfigNo,</v>
      </c>
    </row>
    <row r="21" spans="1:6">
      <c r="A21" s="7" t="s">
        <v>27</v>
      </c>
      <c r="B21" s="20" t="s">
        <v>37</v>
      </c>
      <c r="C21" s="7" t="s">
        <v>71</v>
      </c>
      <c r="E21" t="str">
        <f t="shared" si="0"/>
        <v>行動時間,</v>
      </c>
    </row>
    <row r="22" spans="1:6">
      <c r="A22" s="7" t="s">
        <v>27</v>
      </c>
      <c r="B22" s="20" t="s">
        <v>134</v>
      </c>
      <c r="C22" s="7" t="s">
        <v>52</v>
      </c>
      <c r="E22" t="str">
        <f t="shared" si="0"/>
        <v>回收時間,</v>
      </c>
    </row>
    <row r="23" spans="1:6">
      <c r="A23" s="7" t="s">
        <v>27</v>
      </c>
      <c r="B23" s="20" t="s">
        <v>186</v>
      </c>
      <c r="C23" s="7" t="s">
        <v>53</v>
      </c>
      <c r="E23" t="str">
        <f t="shared" si="0"/>
        <v>死亡時間,</v>
      </c>
    </row>
    <row r="24" spans="1:6">
      <c r="A24" s="7" t="s">
        <v>27</v>
      </c>
      <c r="B24" s="20" t="s">
        <v>187</v>
      </c>
      <c r="C24" s="7" t="s">
        <v>72</v>
      </c>
      <c r="E24" t="str">
        <f t="shared" si="0"/>
        <v>最小速度,</v>
      </c>
    </row>
    <row r="25" spans="1:6">
      <c r="A25" s="7" t="s">
        <v>27</v>
      </c>
      <c r="B25" s="20" t="s">
        <v>188</v>
      </c>
      <c r="C25" s="7" t="s">
        <v>73</v>
      </c>
      <c r="E25" t="str">
        <f t="shared" si="0"/>
        <v>最大速度,</v>
      </c>
    </row>
    <row r="26" spans="1:6" ht="18.75">
      <c r="A26" s="7" t="s">
        <v>27</v>
      </c>
      <c r="B26" s="21" t="s">
        <v>234</v>
      </c>
      <c r="C26" s="7" t="s">
        <v>74</v>
      </c>
      <c r="E26" t="str">
        <f t="shared" si="0"/>
        <v>是界內,</v>
      </c>
    </row>
    <row r="27" spans="1:6">
      <c r="A27" s="7" t="s">
        <v>27</v>
      </c>
      <c r="B27" s="20" t="s">
        <v>136</v>
      </c>
      <c r="C27" s="7" t="s">
        <v>54</v>
      </c>
      <c r="E27" t="str">
        <f t="shared" si="0"/>
        <v>下個符卡,</v>
      </c>
    </row>
    <row r="28" spans="1:6">
      <c r="A28" s="7" t="s">
        <v>27</v>
      </c>
      <c r="B28" s="20" t="s">
        <v>189</v>
      </c>
      <c r="C28" s="7" t="s">
        <v>55</v>
      </c>
      <c r="E28" t="str">
        <f t="shared" si="0"/>
        <v>BOSSDEAD,</v>
      </c>
    </row>
    <row r="29" spans="1:6">
      <c r="A29" s="7" t="s">
        <v>27</v>
      </c>
      <c r="B29" s="20" t="s">
        <v>138</v>
      </c>
      <c r="C29" s="7" t="s">
        <v>57</v>
      </c>
      <c r="E29" t="str">
        <f t="shared" si="0"/>
        <v>移位置,</v>
      </c>
    </row>
    <row r="30" spans="1:6">
      <c r="A30" s="7" t="s">
        <v>27</v>
      </c>
      <c r="B30" s="20" t="s">
        <v>32</v>
      </c>
      <c r="C30" s="7" t="s">
        <v>58</v>
      </c>
      <c r="E30" t="str">
        <f t="shared" si="0"/>
        <v>速度,</v>
      </c>
    </row>
    <row r="31" spans="1:6">
      <c r="A31" s="7" t="s">
        <v>27</v>
      </c>
      <c r="B31" s="20" t="s">
        <v>33</v>
      </c>
      <c r="C31" s="7" t="s">
        <v>59</v>
      </c>
      <c r="E31" t="str">
        <f t="shared" si="0"/>
        <v>移動角度,</v>
      </c>
    </row>
    <row r="32" spans="1:6">
      <c r="A32" s="7" t="s">
        <v>27</v>
      </c>
      <c r="B32" s="20" t="s">
        <v>190</v>
      </c>
      <c r="C32" s="7" t="s">
        <v>60</v>
      </c>
      <c r="E32" t="str">
        <f t="shared" si="0"/>
        <v>加移動角度,</v>
      </c>
      <c r="F32" s="4"/>
    </row>
    <row r="33" spans="1:6">
      <c r="A33" s="7" t="s">
        <v>27</v>
      </c>
      <c r="B33" s="20" t="s">
        <v>191</v>
      </c>
      <c r="C33" s="7" t="s">
        <v>61</v>
      </c>
      <c r="E33" t="str">
        <f t="shared" si="0"/>
        <v>最大移動角度,</v>
      </c>
      <c r="F33" s="4"/>
    </row>
    <row r="34" spans="1:6">
      <c r="A34" s="7" t="s">
        <v>27</v>
      </c>
      <c r="B34" s="20" t="s">
        <v>192</v>
      </c>
      <c r="C34" s="7" t="s">
        <v>51</v>
      </c>
      <c r="E34" t="str">
        <f t="shared" si="0"/>
        <v>最小移動角度,</v>
      </c>
      <c r="F34" s="4"/>
    </row>
    <row r="35" spans="1:6">
      <c r="A35" s="7" t="s">
        <v>27</v>
      </c>
      <c r="B35" s="20" t="s">
        <v>193</v>
      </c>
      <c r="C35" s="7" t="s">
        <v>75</v>
      </c>
      <c r="E35" t="str">
        <f t="shared" si="0"/>
        <v>旋轉角度,</v>
      </c>
      <c r="F35" s="4"/>
    </row>
    <row r="36" spans="1:6">
      <c r="A36" s="7" t="s">
        <v>27</v>
      </c>
      <c r="B36" s="20" t="s">
        <v>194</v>
      </c>
      <c r="C36" s="7" t="s">
        <v>64</v>
      </c>
      <c r="E36" t="str">
        <f t="shared" si="0"/>
        <v>加旋轉角度,</v>
      </c>
      <c r="F36" s="4"/>
    </row>
    <row r="37" spans="1:6">
      <c r="A37" s="7" t="s">
        <v>27</v>
      </c>
      <c r="B37" s="22" t="s">
        <v>235</v>
      </c>
      <c r="C37" s="7" t="s">
        <v>120</v>
      </c>
      <c r="E37" t="str">
        <f t="shared" si="0"/>
        <v>停止旋轉角度,</v>
      </c>
      <c r="F37" s="4"/>
    </row>
    <row r="38" spans="1:6">
      <c r="A38" s="7" t="s">
        <v>27</v>
      </c>
      <c r="B38" s="22" t="s">
        <v>236</v>
      </c>
      <c r="C38" s="7" t="s">
        <v>65</v>
      </c>
      <c r="E38" t="str">
        <f t="shared" si="0"/>
        <v>停止移動角度,</v>
      </c>
    </row>
    <row r="39" spans="1:6">
      <c r="A39" s="7" t="s">
        <v>27</v>
      </c>
      <c r="B39" s="20" t="s">
        <v>195</v>
      </c>
      <c r="C39" s="7" t="s">
        <v>123</v>
      </c>
      <c r="E39" t="str">
        <f t="shared" si="0"/>
        <v>旋轉是移動角度,</v>
      </c>
    </row>
    <row r="40" spans="1:6">
      <c r="A40" s="7" t="s">
        <v>27</v>
      </c>
      <c r="B40" s="20" t="s">
        <v>196</v>
      </c>
      <c r="C40" s="7" t="s">
        <v>66</v>
      </c>
      <c r="E40" t="str">
        <f t="shared" si="0"/>
        <v>加速度,</v>
      </c>
    </row>
    <row r="41" spans="1:6">
      <c r="A41" s="7" t="s">
        <v>27</v>
      </c>
      <c r="B41" s="20" t="s">
        <v>197</v>
      </c>
      <c r="C41" s="7" t="s">
        <v>126</v>
      </c>
      <c r="E41" t="str">
        <f t="shared" si="0"/>
        <v>相對位置,</v>
      </c>
    </row>
    <row r="42" spans="1:6">
      <c r="A42" s="7" t="s">
        <v>27</v>
      </c>
      <c r="B42" s="20" t="s">
        <v>198</v>
      </c>
      <c r="C42" s="7" t="s">
        <v>127</v>
      </c>
      <c r="E42" t="str">
        <f t="shared" si="0"/>
        <v>加大小X,</v>
      </c>
    </row>
    <row r="43" spans="1:6">
      <c r="A43" s="7" t="s">
        <v>27</v>
      </c>
      <c r="B43" s="20" t="s">
        <v>155</v>
      </c>
      <c r="C43" s="7" t="s">
        <v>128</v>
      </c>
      <c r="E43" t="str">
        <f t="shared" si="0"/>
        <v>大小X,</v>
      </c>
    </row>
    <row r="44" spans="1:6">
      <c r="A44" s="7" t="s">
        <v>27</v>
      </c>
      <c r="B44" s="20" t="s">
        <v>199</v>
      </c>
      <c r="C44" s="7" t="s">
        <v>122</v>
      </c>
      <c r="E44" t="str">
        <f t="shared" si="0"/>
        <v>加大小Y,</v>
      </c>
    </row>
    <row r="45" spans="1:6">
      <c r="A45" s="7" t="s">
        <v>27</v>
      </c>
      <c r="B45" s="20" t="s">
        <v>200</v>
      </c>
      <c r="C45" s="7" t="s">
        <v>131</v>
      </c>
      <c r="E45" t="str">
        <f t="shared" si="0"/>
        <v>大小Y,</v>
      </c>
      <c r="F45" s="9"/>
    </row>
    <row r="46" spans="1:6">
      <c r="A46" s="7" t="s">
        <v>27</v>
      </c>
      <c r="B46" s="20" t="s">
        <v>201</v>
      </c>
      <c r="C46" s="7" t="s">
        <v>132</v>
      </c>
      <c r="E46" t="str">
        <f t="shared" si="0"/>
        <v>加透明,</v>
      </c>
      <c r="F46" s="9"/>
    </row>
    <row r="47" spans="1:6">
      <c r="A47" s="7" t="s">
        <v>27</v>
      </c>
      <c r="B47" s="20" t="s">
        <v>202</v>
      </c>
      <c r="C47" s="7" t="s">
        <v>133</v>
      </c>
      <c r="E47" t="str">
        <f t="shared" si="0"/>
        <v>透明,</v>
      </c>
      <c r="F47" s="9"/>
    </row>
    <row r="48" spans="1:6">
      <c r="A48" s="7" t="s">
        <v>27</v>
      </c>
      <c r="B48" s="20" t="s">
        <v>203</v>
      </c>
      <c r="C48" s="7" t="s">
        <v>135</v>
      </c>
      <c r="E48" t="str">
        <f t="shared" si="0"/>
        <v>最大大小X,</v>
      </c>
      <c r="F48" s="9"/>
    </row>
    <row r="49" spans="1:11">
      <c r="A49" s="7" t="s">
        <v>27</v>
      </c>
      <c r="B49" s="20" t="s">
        <v>204</v>
      </c>
      <c r="C49" s="7" t="s">
        <v>130</v>
      </c>
      <c r="E49" t="str">
        <f t="shared" si="0"/>
        <v>最大大小Y,</v>
      </c>
      <c r="F49" s="9"/>
    </row>
    <row r="50" spans="1:11">
      <c r="A50" s="7" t="s">
        <v>27</v>
      </c>
      <c r="B50" s="20" t="s">
        <v>205</v>
      </c>
      <c r="C50" s="7" t="s">
        <v>139</v>
      </c>
      <c r="E50" t="str">
        <f t="shared" si="0"/>
        <v>最小大小X,</v>
      </c>
    </row>
    <row r="51" spans="1:11">
      <c r="A51" s="7" t="s">
        <v>27</v>
      </c>
      <c r="B51" s="20" t="s">
        <v>206</v>
      </c>
      <c r="C51" s="7" t="s">
        <v>140</v>
      </c>
      <c r="E51" t="str">
        <f t="shared" si="0"/>
        <v>最小大小Y,</v>
      </c>
    </row>
    <row r="52" spans="1:11">
      <c r="A52" s="7" t="s">
        <v>27</v>
      </c>
      <c r="B52" s="20" t="s">
        <v>63</v>
      </c>
      <c r="C52" s="7" t="s">
        <v>142</v>
      </c>
      <c r="E52" t="str">
        <f t="shared" si="0"/>
        <v>無敵,</v>
      </c>
    </row>
    <row r="53" spans="1:11">
      <c r="A53" s="7" t="s">
        <v>27</v>
      </c>
      <c r="B53" s="20" t="s">
        <v>207</v>
      </c>
      <c r="C53" s="7" t="s">
        <v>143</v>
      </c>
      <c r="E53" t="str">
        <f t="shared" si="0"/>
        <v>貫穿,</v>
      </c>
    </row>
    <row r="54" spans="1:11">
      <c r="A54" s="7" t="s">
        <v>27</v>
      </c>
      <c r="B54" s="20" t="s">
        <v>208</v>
      </c>
      <c r="C54" s="7" t="s">
        <v>144</v>
      </c>
      <c r="E54" t="str">
        <f t="shared" si="0"/>
        <v>碰撞,</v>
      </c>
    </row>
    <row r="55" spans="1:11">
      <c r="A55" s="7" t="s">
        <v>27</v>
      </c>
      <c r="B55" s="20" t="s">
        <v>209</v>
      </c>
      <c r="C55" s="7" t="s">
        <v>145</v>
      </c>
      <c r="E55" t="str">
        <f t="shared" si="0"/>
        <v>Sprite,</v>
      </c>
    </row>
    <row r="56" spans="1:11">
      <c r="A56" s="7" t="s">
        <v>27</v>
      </c>
      <c r="B56" s="20" t="s">
        <v>210</v>
      </c>
      <c r="C56" s="7" t="s">
        <v>146</v>
      </c>
      <c r="E56" t="str">
        <f t="shared" si="0"/>
        <v>ConfigNoAdd,</v>
      </c>
    </row>
    <row r="57" spans="1:11">
      <c r="A57" s="7" t="s">
        <v>27</v>
      </c>
      <c r="B57" s="20" t="s">
        <v>211</v>
      </c>
      <c r="C57" s="7" t="s">
        <v>147</v>
      </c>
      <c r="E57" t="str">
        <f t="shared" si="0"/>
        <v>時位時間,</v>
      </c>
    </row>
    <row r="58" spans="1:11">
      <c r="A58" s="7" t="s">
        <v>27</v>
      </c>
      <c r="B58" s="20" t="s">
        <v>212</v>
      </c>
      <c r="C58" s="7" t="s">
        <v>148</v>
      </c>
      <c r="E58" t="str">
        <f t="shared" si="0"/>
        <v>時位位置,</v>
      </c>
    </row>
    <row r="59" spans="1:11">
      <c r="A59" s="7" t="s">
        <v>27</v>
      </c>
      <c r="B59" s="20" t="s">
        <v>213</v>
      </c>
      <c r="C59" s="7" t="s">
        <v>149</v>
      </c>
      <c r="E59" t="str">
        <f t="shared" si="0"/>
        <v>時位變速點,</v>
      </c>
    </row>
    <row r="60" spans="1:11">
      <c r="A60" s="7" t="s">
        <v>27</v>
      </c>
      <c r="B60" s="20" t="s">
        <v>214</v>
      </c>
      <c r="C60" s="7" t="s">
        <v>150</v>
      </c>
      <c r="E60" t="str">
        <f t="shared" si="0"/>
        <v>時位開始速度,</v>
      </c>
    </row>
    <row r="61" spans="1:11">
      <c r="A61" s="7" t="s">
        <v>27</v>
      </c>
      <c r="B61" s="20" t="s">
        <v>215</v>
      </c>
      <c r="C61" s="7" t="s">
        <v>151</v>
      </c>
      <c r="E61" t="str">
        <f t="shared" si="0"/>
        <v>時位結束速度,</v>
      </c>
    </row>
    <row r="62" spans="1:11">
      <c r="A62" s="7" t="s">
        <v>27</v>
      </c>
      <c r="B62" s="20" t="s">
        <v>216</v>
      </c>
      <c r="C62" s="7" t="s">
        <v>152</v>
      </c>
      <c r="E62" t="str">
        <f t="shared" si="0"/>
        <v>時位移動角度,</v>
      </c>
      <c r="K62" s="4" t="s">
        <v>160</v>
      </c>
    </row>
    <row r="63" spans="1:11">
      <c r="A63" s="7" t="s">
        <v>27</v>
      </c>
      <c r="B63" s="20" t="s">
        <v>217</v>
      </c>
      <c r="C63" s="7" t="s">
        <v>153</v>
      </c>
      <c r="E63" t="str">
        <f t="shared" si="0"/>
        <v>回收距離,</v>
      </c>
      <c r="K63" s="4" t="s">
        <v>161</v>
      </c>
    </row>
    <row r="64" spans="1:11">
      <c r="A64" s="7" t="s">
        <v>27</v>
      </c>
      <c r="B64" s="20" t="s">
        <v>225</v>
      </c>
      <c r="C64" s="7" t="s">
        <v>137</v>
      </c>
      <c r="E64" t="str">
        <f t="shared" si="0"/>
        <v>位置參數,</v>
      </c>
      <c r="K64" s="4" t="s">
        <v>162</v>
      </c>
    </row>
    <row r="65" spans="1:11">
      <c r="A65" s="7" t="s">
        <v>27</v>
      </c>
      <c r="B65" s="20" t="s">
        <v>224</v>
      </c>
      <c r="C65" s="7" t="s">
        <v>156</v>
      </c>
      <c r="E65" t="str">
        <f t="shared" si="0"/>
        <v>角度參數,</v>
      </c>
      <c r="K65" s="9" t="s">
        <v>163</v>
      </c>
    </row>
    <row r="66" spans="1:11">
      <c r="A66" s="7" t="s">
        <v>27</v>
      </c>
      <c r="B66" s="23" t="s">
        <v>237</v>
      </c>
      <c r="C66" s="7" t="s">
        <v>157</v>
      </c>
      <c r="E66" t="str">
        <f t="shared" si="0"/>
        <v>啟動依ID,</v>
      </c>
      <c r="K66" s="9" t="s">
        <v>164</v>
      </c>
    </row>
    <row r="67" spans="1:11">
      <c r="A67" s="7" t="s">
        <v>27</v>
      </c>
      <c r="B67" s="9" t="s">
        <v>238</v>
      </c>
      <c r="C67" s="7" t="s">
        <v>158</v>
      </c>
      <c r="E67" t="str">
        <f t="shared" si="0"/>
        <v>啟動依遊戲時間,</v>
      </c>
      <c r="K67" s="9" t="s">
        <v>165</v>
      </c>
    </row>
    <row r="68" spans="1:11">
      <c r="A68" s="7" t="s">
        <v>27</v>
      </c>
      <c r="B68" s="9" t="s">
        <v>218</v>
      </c>
      <c r="C68" s="7" t="s">
        <v>159</v>
      </c>
      <c r="E68" t="str">
        <f t="shared" si="0"/>
        <v>啟動依開始時間後,</v>
      </c>
    </row>
    <row r="69" spans="1:11">
      <c r="A69" s="7" t="s">
        <v>27</v>
      </c>
      <c r="B69" s="7" t="s">
        <v>219</v>
      </c>
      <c r="C69" s="7" t="s">
        <v>166</v>
      </c>
      <c r="E69" t="str">
        <f t="shared" ref="E69:E92" si="1">B69&amp;","</f>
        <v>啟動依結束時間前,</v>
      </c>
    </row>
    <row r="70" spans="1:11">
      <c r="A70" s="7" t="s">
        <v>27</v>
      </c>
      <c r="B70" s="7" t="s">
        <v>220</v>
      </c>
      <c r="C70" s="7" t="s">
        <v>167</v>
      </c>
      <c r="E70" t="str">
        <f t="shared" si="1"/>
        <v>啟動依位置,</v>
      </c>
    </row>
    <row r="71" spans="1:11">
      <c r="A71" s="7" t="s">
        <v>27</v>
      </c>
      <c r="B71" s="7" t="s">
        <v>221</v>
      </c>
      <c r="C71" s="7" t="s">
        <v>168</v>
      </c>
      <c r="E71" t="str">
        <f t="shared" si="1"/>
        <v>啟動依位置距離,</v>
      </c>
    </row>
    <row r="72" spans="1:11">
      <c r="A72" s="7" t="s">
        <v>27</v>
      </c>
      <c r="B72" s="20" t="s">
        <v>222</v>
      </c>
      <c r="C72" s="7" t="s">
        <v>169</v>
      </c>
      <c r="E72" t="str">
        <f t="shared" si="1"/>
        <v>播放音樂,</v>
      </c>
    </row>
    <row r="73" spans="1:11">
      <c r="A73" s="7" t="s">
        <v>27</v>
      </c>
      <c r="B73" s="20" t="s">
        <v>223</v>
      </c>
      <c r="C73" s="7" t="s">
        <v>170</v>
      </c>
      <c r="E73" t="str">
        <f t="shared" si="1"/>
        <v>關卡結束,</v>
      </c>
    </row>
    <row r="74" spans="1:11">
      <c r="A74" s="7" t="s">
        <v>27</v>
      </c>
      <c r="B74" s="20" t="s">
        <v>179</v>
      </c>
      <c r="C74" s="7" t="s">
        <v>171</v>
      </c>
      <c r="E74" t="str">
        <f t="shared" si="1"/>
        <v>啟動依前ID,</v>
      </c>
    </row>
    <row r="75" spans="1:11">
      <c r="A75" s="7" t="s">
        <v>27</v>
      </c>
      <c r="B75" s="7" t="s">
        <v>246</v>
      </c>
      <c r="C75" s="7" t="s">
        <v>245</v>
      </c>
      <c r="E75" t="str">
        <f t="shared" si="1"/>
        <v>下一關,</v>
      </c>
    </row>
    <row r="76" spans="1:11">
      <c r="A76" s="7" t="s">
        <v>27</v>
      </c>
      <c r="B76" s="7" t="s">
        <v>247</v>
      </c>
      <c r="C76" s="7" t="s">
        <v>172</v>
      </c>
      <c r="E76" t="str">
        <f t="shared" si="1"/>
        <v>復位,</v>
      </c>
    </row>
    <row r="77" spans="1:11">
      <c r="A77" s="7" t="s">
        <v>27</v>
      </c>
      <c r="B77" s="7" t="s">
        <v>244</v>
      </c>
      <c r="C77" s="7" t="s">
        <v>251</v>
      </c>
      <c r="E77" t="str">
        <f t="shared" si="1"/>
        <v>玩家遊戲時間,</v>
      </c>
    </row>
    <row r="78" spans="1:11">
      <c r="A78" s="7" t="s">
        <v>27</v>
      </c>
      <c r="B78" s="7" t="s">
        <v>253</v>
      </c>
      <c r="C78" s="7" t="s">
        <v>252</v>
      </c>
      <c r="E78" t="str">
        <f t="shared" si="1"/>
        <v>玩家子彈間隔,</v>
      </c>
    </row>
    <row r="79" spans="1:11">
      <c r="A79" s="7" t="s">
        <v>27</v>
      </c>
      <c r="B79" s="7" t="s">
        <v>254</v>
      </c>
      <c r="C79" s="7" t="s">
        <v>255</v>
      </c>
      <c r="E79" t="str">
        <f t="shared" si="1"/>
        <v>加位置,</v>
      </c>
    </row>
    <row r="80" spans="1:11">
      <c r="A80" s="7" t="s">
        <v>27</v>
      </c>
      <c r="B80" s="7" t="s">
        <v>256</v>
      </c>
      <c r="C80" s="7" t="s">
        <v>257</v>
      </c>
      <c r="E80" t="str">
        <f t="shared" si="1"/>
        <v>加角度,</v>
      </c>
    </row>
    <row r="81" spans="1:5">
      <c r="A81" s="7" t="s">
        <v>27</v>
      </c>
      <c r="B81" s="7" t="s">
        <v>262</v>
      </c>
      <c r="C81" s="7" t="s">
        <v>263</v>
      </c>
      <c r="E81" t="str">
        <f t="shared" si="1"/>
        <v>玩家Power需求,</v>
      </c>
    </row>
    <row r="82" spans="1:5">
      <c r="A82" s="7" t="s">
        <v>27</v>
      </c>
      <c r="B82" s="7" t="s">
        <v>264</v>
      </c>
      <c r="C82" s="7" t="s">
        <v>265</v>
      </c>
      <c r="E82" t="str">
        <f t="shared" si="1"/>
        <v>玩家Shift,</v>
      </c>
    </row>
    <row r="83" spans="1:5">
      <c r="A83" s="7" t="s">
        <v>27</v>
      </c>
      <c r="B83" s="7" t="s">
        <v>266</v>
      </c>
      <c r="C83" s="7" t="s">
        <v>267</v>
      </c>
      <c r="E83" t="str">
        <f t="shared" si="1"/>
        <v>玩家子彈延遲,</v>
      </c>
    </row>
    <row r="84" spans="1:5">
      <c r="A84" s="7" t="s">
        <v>27</v>
      </c>
      <c r="B84" s="7" t="s">
        <v>268</v>
      </c>
      <c r="C84" s="7" t="s">
        <v>269</v>
      </c>
      <c r="E84" t="str">
        <f t="shared" si="1"/>
        <v>Power,</v>
      </c>
    </row>
    <row r="85" spans="1:5">
      <c r="A85" s="7" t="s">
        <v>27</v>
      </c>
      <c r="B85" s="7" t="s">
        <v>270</v>
      </c>
      <c r="C85" s="7" t="s">
        <v>271</v>
      </c>
      <c r="E85" t="str">
        <f t="shared" si="1"/>
        <v>Power掉落,</v>
      </c>
    </row>
    <row r="86" spans="1:5">
      <c r="A86" s="7" t="s">
        <v>27</v>
      </c>
      <c r="B86" s="7" t="s">
        <v>272</v>
      </c>
      <c r="C86" s="7" t="s">
        <v>273</v>
      </c>
      <c r="E86" t="str">
        <f t="shared" si="1"/>
        <v>啟動依玩家死亡,</v>
      </c>
    </row>
    <row r="87" spans="1:5">
      <c r="A87" s="7" t="s">
        <v>27</v>
      </c>
      <c r="B87" s="7" t="s">
        <v>274</v>
      </c>
      <c r="C87" s="7" t="s">
        <v>275</v>
      </c>
      <c r="E87" t="str">
        <f t="shared" si="1"/>
        <v>行動ID結束,</v>
      </c>
    </row>
    <row r="88" spans="1:5">
      <c r="A88" s="7" t="s">
        <v>27</v>
      </c>
      <c r="B88" s="7" t="s">
        <v>276</v>
      </c>
      <c r="C88" s="7" t="s">
        <v>277</v>
      </c>
      <c r="E88" t="str">
        <f t="shared" si="1"/>
        <v>創造依ID,</v>
      </c>
    </row>
    <row r="89" spans="1:5">
      <c r="A89" s="7" t="s">
        <v>27</v>
      </c>
      <c r="B89" s="7" t="s">
        <v>278</v>
      </c>
      <c r="C89" s="7" t="s">
        <v>279</v>
      </c>
      <c r="E89" t="str">
        <f t="shared" si="1"/>
        <v>創造位置,</v>
      </c>
    </row>
    <row r="90" spans="1:5">
      <c r="A90" s="7" t="s">
        <v>27</v>
      </c>
      <c r="B90" s="7" t="s">
        <v>280</v>
      </c>
      <c r="C90" s="7" t="s">
        <v>281</v>
      </c>
      <c r="E90" t="str">
        <f t="shared" si="1"/>
        <v>創造依遊戲時間,</v>
      </c>
    </row>
    <row r="91" spans="1:5">
      <c r="A91" s="7" t="s">
        <v>27</v>
      </c>
      <c r="B91" s="7" t="s">
        <v>282</v>
      </c>
      <c r="C91" s="7" t="s">
        <v>283</v>
      </c>
      <c r="E91" t="str">
        <f t="shared" si="1"/>
        <v>啟動位置是活動,</v>
      </c>
    </row>
    <row r="92" spans="1:5">
      <c r="A92" s="7" t="s">
        <v>27</v>
      </c>
      <c r="B92" s="9" t="s">
        <v>285</v>
      </c>
      <c r="C92" s="7" t="s">
        <v>286</v>
      </c>
      <c r="E92" t="str">
        <f t="shared" si="1"/>
        <v>啟動依開始時間循環,</v>
      </c>
    </row>
    <row r="93" spans="1:5">
      <c r="A93" s="7" t="s">
        <v>27</v>
      </c>
      <c r="B93" s="9" t="s">
        <v>292</v>
      </c>
      <c r="C93" s="7" t="s">
        <v>293</v>
      </c>
      <c r="E93" t="str">
        <f t="shared" ref="E93" si="2">B93&amp;","</f>
        <v>加ID,</v>
      </c>
    </row>
    <row r="95" spans="1:5">
      <c r="A95" s="7" t="s">
        <v>173</v>
      </c>
      <c r="B95" s="4" t="s">
        <v>174</v>
      </c>
      <c r="C95" s="7" t="s">
        <v>21</v>
      </c>
      <c r="E95" t="str">
        <f>B95&amp;","</f>
        <v>新位置,</v>
      </c>
    </row>
    <row r="96" spans="1:5">
      <c r="A96" s="7" t="s">
        <v>173</v>
      </c>
      <c r="B96" s="4" t="s">
        <v>175</v>
      </c>
      <c r="C96" s="7" t="s">
        <v>25</v>
      </c>
      <c r="E96" t="str">
        <f>B96&amp;","</f>
        <v>新角度,</v>
      </c>
    </row>
    <row r="97" spans="1:5">
      <c r="A97" s="7" t="s">
        <v>173</v>
      </c>
      <c r="B97" s="4" t="s">
        <v>248</v>
      </c>
      <c r="C97" s="7" t="s">
        <v>26</v>
      </c>
      <c r="E97" t="str">
        <f>B97&amp;","</f>
        <v>新位置角度,</v>
      </c>
    </row>
    <row r="98" spans="1:5">
      <c r="B98" s="4"/>
    </row>
    <row r="99" spans="1:5">
      <c r="A99" s="7" t="s">
        <v>239</v>
      </c>
      <c r="B99" s="7" t="s">
        <v>228</v>
      </c>
      <c r="C99" s="7" t="s">
        <v>21</v>
      </c>
    </row>
    <row r="100" spans="1:5" customFormat="1">
      <c r="A100" s="7" t="s">
        <v>239</v>
      </c>
      <c r="B100" s="7" t="s">
        <v>229</v>
      </c>
      <c r="C100" s="7" t="s">
        <v>25</v>
      </c>
      <c r="D100" s="7"/>
    </row>
    <row r="101" spans="1:5" customFormat="1">
      <c r="A101" s="7" t="s">
        <v>239</v>
      </c>
      <c r="B101" s="7" t="s">
        <v>230</v>
      </c>
      <c r="C101" s="7" t="s">
        <v>26</v>
      </c>
      <c r="D101" s="7"/>
    </row>
    <row r="102" spans="1:5" customFormat="1">
      <c r="A102" s="7" t="s">
        <v>239</v>
      </c>
      <c r="B102" s="7" t="s">
        <v>240</v>
      </c>
      <c r="C102" s="7" t="s">
        <v>129</v>
      </c>
      <c r="D102" s="7"/>
    </row>
    <row r="103" spans="1:5" customFormat="1">
      <c r="A103" s="7" t="s">
        <v>239</v>
      </c>
      <c r="B103" s="7" t="s">
        <v>241</v>
      </c>
      <c r="C103" s="7" t="s">
        <v>23</v>
      </c>
      <c r="D103" s="7"/>
    </row>
    <row r="104" spans="1:5" customFormat="1">
      <c r="A104" s="7" t="s">
        <v>239</v>
      </c>
      <c r="B104" s="4" t="s">
        <v>249</v>
      </c>
      <c r="C104" s="7" t="s">
        <v>24</v>
      </c>
      <c r="D104" s="7"/>
    </row>
    <row r="105" spans="1:5" customFormat="1">
      <c r="A105" s="7" t="s">
        <v>239</v>
      </c>
      <c r="B105" s="4" t="s">
        <v>258</v>
      </c>
      <c r="C105" s="7" t="s">
        <v>259</v>
      </c>
      <c r="D105" s="7"/>
    </row>
    <row r="106" spans="1:5" customFormat="1">
      <c r="A106" s="7"/>
      <c r="B106" s="7"/>
      <c r="C106" s="7"/>
      <c r="D106" s="7"/>
    </row>
    <row r="107" spans="1:5" customFormat="1">
      <c r="A107" s="7" t="s">
        <v>242</v>
      </c>
      <c r="B107" s="7" t="s">
        <v>226</v>
      </c>
      <c r="C107" s="7" t="s">
        <v>21</v>
      </c>
      <c r="D107" s="4"/>
    </row>
    <row r="108" spans="1:5" customFormat="1">
      <c r="A108" s="7" t="s">
        <v>242</v>
      </c>
      <c r="B108" s="7" t="s">
        <v>227</v>
      </c>
      <c r="C108" s="7" t="s">
        <v>41</v>
      </c>
      <c r="D108" s="7"/>
    </row>
    <row r="109" spans="1:5" customFormat="1">
      <c r="A109" s="7" t="s">
        <v>242</v>
      </c>
      <c r="B109" s="7" t="s">
        <v>260</v>
      </c>
      <c r="C109" s="7" t="s">
        <v>42</v>
      </c>
      <c r="D109" s="7"/>
    </row>
    <row r="110" spans="1:5" customFormat="1">
      <c r="A110" s="7" t="s">
        <v>242</v>
      </c>
      <c r="B110" s="4" t="s">
        <v>250</v>
      </c>
      <c r="C110" s="7" t="s">
        <v>22</v>
      </c>
      <c r="D110" s="7"/>
    </row>
    <row r="111" spans="1:5" customFormat="1">
      <c r="A111" s="7" t="s">
        <v>242</v>
      </c>
      <c r="B111" s="4" t="s">
        <v>261</v>
      </c>
      <c r="C111" s="7" t="s">
        <v>23</v>
      </c>
      <c r="D111" s="7"/>
    </row>
    <row r="112" spans="1:5">
      <c r="A112" s="7" t="s">
        <v>242</v>
      </c>
      <c r="B112" s="7" t="s">
        <v>290</v>
      </c>
      <c r="C112" s="7" t="s">
        <v>24</v>
      </c>
    </row>
  </sheetData>
  <phoneticPr fontId="2" type="noConversion"/>
  <conditionalFormatting sqref="K65:K67">
    <cfRule type="cellIs" dxfId="39" priority="3" operator="equal">
      <formula>"行動序號"</formula>
    </cfRule>
  </conditionalFormatting>
  <conditionalFormatting sqref="B67:B68">
    <cfRule type="cellIs" dxfId="38" priority="2" operator="equal">
      <formula>"行動序號"</formula>
    </cfRule>
  </conditionalFormatting>
  <conditionalFormatting sqref="B92:B94">
    <cfRule type="cellIs" dxfId="37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42DD4-AE4B-4140-A6F7-275FF67865B3}">
  <sheetPr codeName="OptionSheet"/>
  <dimension ref="A1:K257"/>
  <sheetViews>
    <sheetView topLeftCell="A76" zoomScale="115" zoomScaleNormal="115" workbookViewId="0">
      <selection activeCell="G19" sqref="G19"/>
    </sheetView>
  </sheetViews>
  <sheetFormatPr defaultRowHeight="16.5"/>
  <cols>
    <col min="1" max="1" width="20.5" style="4" bestFit="1" customWidth="1"/>
    <col min="2" max="2" width="18.375" style="4" bestFit="1" customWidth="1"/>
    <col min="3" max="3" width="18.375" style="4" customWidth="1"/>
    <col min="4" max="4" width="13.875" style="4" bestFit="1" customWidth="1"/>
    <col min="5" max="5" width="20.875" style="4" bestFit="1" customWidth="1"/>
    <col min="6" max="6" width="20.875" style="4" customWidth="1"/>
    <col min="7" max="7" width="20.875" style="4" bestFit="1" customWidth="1"/>
    <col min="8" max="8" width="13.875" style="4" bestFit="1" customWidth="1"/>
    <col min="9" max="11" width="18.625" style="4" bestFit="1" customWidth="1"/>
    <col min="12" max="16384" width="9" style="4"/>
  </cols>
  <sheetData>
    <row r="1" spans="1:11" s="5" customFormat="1" ht="19.5">
      <c r="A1" s="17" t="s">
        <v>27</v>
      </c>
      <c r="B1" s="17" t="s">
        <v>76</v>
      </c>
      <c r="C1" s="6" t="s">
        <v>239</v>
      </c>
      <c r="D1" s="6" t="s">
        <v>242</v>
      </c>
      <c r="E1" s="8" t="s">
        <v>173</v>
      </c>
      <c r="F1" s="8"/>
      <c r="G1" s="8"/>
      <c r="H1" s="6"/>
      <c r="I1" s="8"/>
      <c r="J1" s="8"/>
      <c r="K1" s="8"/>
    </row>
    <row r="2" spans="1:11" ht="85.5">
      <c r="A2" s="20" t="s">
        <v>121</v>
      </c>
      <c r="B2" s="4" t="s">
        <v>40</v>
      </c>
      <c r="C2" s="7" t="s">
        <v>228</v>
      </c>
      <c r="D2" s="7" t="s">
        <v>226</v>
      </c>
      <c r="E2" s="4" t="s">
        <v>174</v>
      </c>
      <c r="G2" s="4" t="str">
        <f>VLOOKUP($A2,'#DEFINE'!$B:$C,2,0)</f>
        <v>1</v>
      </c>
      <c r="H2" s="24" t="s">
        <v>284</v>
      </c>
    </row>
    <row r="3" spans="1:11">
      <c r="A3" s="20" t="s">
        <v>178</v>
      </c>
      <c r="B3" s="4" t="s">
        <v>154</v>
      </c>
      <c r="C3" s="7" t="s">
        <v>229</v>
      </c>
      <c r="D3" s="7" t="s">
        <v>227</v>
      </c>
      <c r="E3" s="4" t="s">
        <v>175</v>
      </c>
      <c r="G3" s="4" t="str">
        <f>VLOOKUP($A3,'#DEFINE'!$B:$C,2,0)</f>
        <v>2</v>
      </c>
      <c r="H3" s="9"/>
    </row>
    <row r="4" spans="1:11">
      <c r="A4" s="20" t="s">
        <v>176</v>
      </c>
      <c r="C4" s="7" t="s">
        <v>230</v>
      </c>
      <c r="D4" s="7" t="s">
        <v>260</v>
      </c>
      <c r="E4" s="4" t="s">
        <v>248</v>
      </c>
      <c r="G4" s="4" t="str">
        <f>VLOOKUP($A4,'#DEFINE'!$B:$C,2,0)</f>
        <v>3</v>
      </c>
      <c r="H4" s="9"/>
      <c r="I4" s="18"/>
    </row>
    <row r="5" spans="1:11" ht="17.25" customHeight="1">
      <c r="A5" s="20" t="s">
        <v>180</v>
      </c>
      <c r="C5" s="7" t="s">
        <v>240</v>
      </c>
      <c r="D5" s="4" t="s">
        <v>250</v>
      </c>
      <c r="G5" s="4" t="str">
        <f>VLOOKUP($A5,'#DEFINE'!$B:$C,2,0)</f>
        <v>4</v>
      </c>
      <c r="H5" s="9"/>
    </row>
    <row r="6" spans="1:11">
      <c r="A6" s="20" t="s">
        <v>68</v>
      </c>
      <c r="C6" s="7" t="s">
        <v>241</v>
      </c>
      <c r="D6" s="4" t="s">
        <v>261</v>
      </c>
      <c r="G6" s="4" t="str">
        <f>VLOOKUP($A6,'#DEFINE'!$B:$C,2,0)</f>
        <v>5</v>
      </c>
      <c r="H6" s="9"/>
    </row>
    <row r="7" spans="1:11">
      <c r="A7" s="20" t="s">
        <v>31</v>
      </c>
      <c r="C7" s="4" t="s">
        <v>249</v>
      </c>
      <c r="D7" s="4" t="s">
        <v>291</v>
      </c>
      <c r="G7" s="4" t="str">
        <f>VLOOKUP($A7,'#DEFINE'!$B:$C,2,0)</f>
        <v>6</v>
      </c>
      <c r="H7" s="9"/>
    </row>
    <row r="8" spans="1:11">
      <c r="A8" s="20" t="s">
        <v>30</v>
      </c>
      <c r="C8" s="4" t="s">
        <v>258</v>
      </c>
      <c r="G8" s="4" t="str">
        <f>VLOOKUP($A8,'#DEFINE'!$B:$C,2,0)</f>
        <v>7</v>
      </c>
      <c r="H8" s="9"/>
    </row>
    <row r="9" spans="1:11">
      <c r="A9" s="20" t="s">
        <v>50</v>
      </c>
      <c r="D9" s="9"/>
      <c r="G9" s="4" t="str">
        <f>VLOOKUP($A9,'#DEFINE'!$B:$C,2,0)</f>
        <v>8</v>
      </c>
      <c r="H9" s="9"/>
    </row>
    <row r="10" spans="1:11">
      <c r="A10" s="20" t="s">
        <v>181</v>
      </c>
      <c r="G10" s="4" t="str">
        <f>VLOOKUP($A10,'#DEFINE'!$B:$C,2,0)</f>
        <v>9</v>
      </c>
      <c r="H10" s="9"/>
    </row>
    <row r="11" spans="1:11">
      <c r="A11" s="20" t="s">
        <v>182</v>
      </c>
      <c r="G11" s="4" t="str">
        <f>VLOOKUP($A11,'#DEFINE'!$B:$C,2,0)</f>
        <v>10</v>
      </c>
      <c r="H11" s="9"/>
    </row>
    <row r="12" spans="1:11">
      <c r="A12" s="20" t="s">
        <v>183</v>
      </c>
      <c r="G12" s="4" t="str">
        <f>VLOOKUP($A12,'#DEFINE'!$B:$C,2,0)</f>
        <v>11</v>
      </c>
      <c r="H12" s="9"/>
    </row>
    <row r="13" spans="1:11">
      <c r="A13" s="20" t="s">
        <v>177</v>
      </c>
      <c r="D13" s="9"/>
      <c r="G13" s="4" t="str">
        <f>VLOOKUP($A13,'#DEFINE'!$B:$C,2,0)</f>
        <v>12</v>
      </c>
      <c r="H13" s="9"/>
    </row>
    <row r="14" spans="1:11">
      <c r="A14" s="20" t="s">
        <v>184</v>
      </c>
      <c r="G14" s="4" t="str">
        <f>VLOOKUP($A14,'#DEFINE'!$B:$C,2,0)</f>
        <v>13</v>
      </c>
      <c r="H14" s="9"/>
    </row>
    <row r="15" spans="1:11">
      <c r="A15" s="20" t="s">
        <v>62</v>
      </c>
      <c r="D15"/>
      <c r="G15" s="4" t="str">
        <f>VLOOKUP($A15,'#DEFINE'!$B:$C,2,0)</f>
        <v>14</v>
      </c>
      <c r="H15" s="9"/>
    </row>
    <row r="16" spans="1:11">
      <c r="A16" s="20" t="s">
        <v>29</v>
      </c>
      <c r="D16"/>
      <c r="G16" s="4" t="str">
        <f>VLOOKUP($A16,'#DEFINE'!$B:$C,2,0)</f>
        <v>15</v>
      </c>
      <c r="H16" s="9"/>
    </row>
    <row r="17" spans="1:8">
      <c r="A17" s="20" t="s">
        <v>185</v>
      </c>
      <c r="D17"/>
      <c r="G17" s="4" t="str">
        <f>VLOOKUP($A17,'#DEFINE'!$B:$C,2,0)</f>
        <v>16</v>
      </c>
      <c r="H17" s="9"/>
    </row>
    <row r="18" spans="1:8">
      <c r="A18" s="20" t="s">
        <v>37</v>
      </c>
      <c r="D18"/>
      <c r="G18" s="4" t="str">
        <f>VLOOKUP($A18,'#DEFINE'!$B:$C,2,0)</f>
        <v>17</v>
      </c>
      <c r="H18" s="9"/>
    </row>
    <row r="19" spans="1:8">
      <c r="A19" s="20" t="s">
        <v>134</v>
      </c>
      <c r="D19"/>
      <c r="G19" s="4" t="str">
        <f>VLOOKUP($A19,'#DEFINE'!$B:$C,2,0)</f>
        <v>18</v>
      </c>
      <c r="H19" s="9"/>
    </row>
    <row r="20" spans="1:8">
      <c r="A20" s="20" t="s">
        <v>186</v>
      </c>
      <c r="D20"/>
      <c r="G20" s="4" t="str">
        <f>VLOOKUP($A20,'#DEFINE'!$B:$C,2,0)</f>
        <v>19</v>
      </c>
      <c r="H20" s="9"/>
    </row>
    <row r="21" spans="1:8">
      <c r="A21" s="20" t="s">
        <v>187</v>
      </c>
      <c r="D21"/>
      <c r="G21" s="4" t="str">
        <f>VLOOKUP($A21,'#DEFINE'!$B:$C,2,0)</f>
        <v>20</v>
      </c>
      <c r="H21" s="9"/>
    </row>
    <row r="22" spans="1:8">
      <c r="A22" s="20" t="s">
        <v>188</v>
      </c>
      <c r="D22"/>
      <c r="G22" s="4" t="str">
        <f>VLOOKUP($A22,'#DEFINE'!$B:$C,2,0)</f>
        <v>21</v>
      </c>
      <c r="H22" s="9"/>
    </row>
    <row r="23" spans="1:8" ht="18.75">
      <c r="A23" s="21" t="s">
        <v>234</v>
      </c>
      <c r="D23"/>
      <c r="G23" s="4" t="str">
        <f>VLOOKUP($A23,'#DEFINE'!$B:$C,2,0)</f>
        <v>22</v>
      </c>
      <c r="H23" s="9"/>
    </row>
    <row r="24" spans="1:8" s="9" customFormat="1">
      <c r="A24" s="20" t="s">
        <v>136</v>
      </c>
      <c r="D24"/>
      <c r="G24" s="4" t="str">
        <f>VLOOKUP($A24,'#DEFINE'!$B:$C,2,0)</f>
        <v>23</v>
      </c>
    </row>
    <row r="25" spans="1:8">
      <c r="A25" s="20" t="s">
        <v>189</v>
      </c>
      <c r="D25"/>
      <c r="G25" s="4" t="str">
        <f>VLOOKUP($A25,'#DEFINE'!$B:$C,2,0)</f>
        <v>24</v>
      </c>
      <c r="H25" s="9"/>
    </row>
    <row r="26" spans="1:8">
      <c r="A26" s="20" t="s">
        <v>138</v>
      </c>
      <c r="B26" s="9"/>
      <c r="C26" s="9"/>
      <c r="D26"/>
      <c r="G26" s="4" t="str">
        <f>VLOOKUP($A26,'#DEFINE'!$B:$C,2,0)</f>
        <v>25</v>
      </c>
      <c r="H26" s="9"/>
    </row>
    <row r="27" spans="1:8">
      <c r="A27" s="20" t="s">
        <v>32</v>
      </c>
      <c r="D27"/>
      <c r="G27" s="4" t="str">
        <f>VLOOKUP($A27,'#DEFINE'!$B:$C,2,0)</f>
        <v>26</v>
      </c>
      <c r="H27" s="9"/>
    </row>
    <row r="28" spans="1:8">
      <c r="A28" s="20" t="s">
        <v>33</v>
      </c>
      <c r="D28"/>
      <c r="G28" s="4" t="str">
        <f>VLOOKUP($A28,'#DEFINE'!$B:$C,2,0)</f>
        <v>27</v>
      </c>
      <c r="H28" s="9"/>
    </row>
    <row r="29" spans="1:8">
      <c r="A29" s="20" t="s">
        <v>190</v>
      </c>
      <c r="D29"/>
      <c r="G29" s="4" t="str">
        <f>VLOOKUP($A29,'#DEFINE'!$B:$C,2,0)</f>
        <v>28</v>
      </c>
      <c r="H29" s="9"/>
    </row>
    <row r="30" spans="1:8">
      <c r="A30" s="20" t="s">
        <v>191</v>
      </c>
      <c r="D30"/>
      <c r="G30" s="4" t="str">
        <f>VLOOKUP($A30,'#DEFINE'!$B:$C,2,0)</f>
        <v>29</v>
      </c>
      <c r="H30" s="9"/>
    </row>
    <row r="31" spans="1:8">
      <c r="A31" s="20" t="s">
        <v>192</v>
      </c>
      <c r="D31"/>
      <c r="G31" s="4" t="str">
        <f>VLOOKUP($A31,'#DEFINE'!$B:$C,2,0)</f>
        <v>30</v>
      </c>
      <c r="H31" s="9"/>
    </row>
    <row r="32" spans="1:8">
      <c r="A32" s="20" t="s">
        <v>193</v>
      </c>
      <c r="D32"/>
      <c r="G32" s="4" t="str">
        <f>VLOOKUP($A32,'#DEFINE'!$B:$C,2,0)</f>
        <v>31</v>
      </c>
      <c r="H32" s="9"/>
    </row>
    <row r="33" spans="1:8">
      <c r="A33" s="20" t="s">
        <v>194</v>
      </c>
      <c r="D33"/>
      <c r="G33" s="4" t="str">
        <f>VLOOKUP($A33,'#DEFINE'!$B:$C,2,0)</f>
        <v>32</v>
      </c>
      <c r="H33" s="9"/>
    </row>
    <row r="34" spans="1:8">
      <c r="A34" s="22" t="s">
        <v>235</v>
      </c>
      <c r="D34"/>
      <c r="G34" s="4" t="str">
        <f>VLOOKUP($A34,'#DEFINE'!$B:$C,2,0)</f>
        <v>33</v>
      </c>
      <c r="H34" s="9"/>
    </row>
    <row r="35" spans="1:8">
      <c r="A35" s="22" t="s">
        <v>236</v>
      </c>
      <c r="D35"/>
      <c r="G35" s="4" t="str">
        <f>VLOOKUP($A35,'#DEFINE'!$B:$C,2,0)</f>
        <v>34</v>
      </c>
    </row>
    <row r="36" spans="1:8">
      <c r="A36" s="20" t="s">
        <v>195</v>
      </c>
      <c r="D36"/>
      <c r="G36" s="4" t="str">
        <f>VLOOKUP($A36,'#DEFINE'!$B:$C,2,0)</f>
        <v>35</v>
      </c>
      <c r="H36" s="9"/>
    </row>
    <row r="37" spans="1:8">
      <c r="A37" s="20" t="s">
        <v>196</v>
      </c>
      <c r="D37"/>
      <c r="G37" s="4" t="str">
        <f>VLOOKUP($A37,'#DEFINE'!$B:$C,2,0)</f>
        <v>36</v>
      </c>
      <c r="H37" s="9"/>
    </row>
    <row r="38" spans="1:8">
      <c r="A38" s="20" t="s">
        <v>197</v>
      </c>
      <c r="D38"/>
      <c r="G38" s="4" t="str">
        <f>VLOOKUP($A38,'#DEFINE'!$B:$C,2,0)</f>
        <v>37</v>
      </c>
      <c r="H38" s="9"/>
    </row>
    <row r="39" spans="1:8">
      <c r="A39" s="20" t="s">
        <v>198</v>
      </c>
      <c r="D39"/>
      <c r="G39" s="4" t="str">
        <f>VLOOKUP($A39,'#DEFINE'!$B:$C,2,0)</f>
        <v>38</v>
      </c>
      <c r="H39" s="9"/>
    </row>
    <row r="40" spans="1:8">
      <c r="A40" s="20" t="s">
        <v>155</v>
      </c>
      <c r="D40"/>
      <c r="G40" s="4" t="str">
        <f>VLOOKUP($A40,'#DEFINE'!$B:$C,2,0)</f>
        <v>39</v>
      </c>
      <c r="H40" s="9"/>
    </row>
    <row r="41" spans="1:8">
      <c r="A41" s="20" t="s">
        <v>199</v>
      </c>
      <c r="D41"/>
      <c r="G41" s="4" t="str">
        <f>VLOOKUP($A41,'#DEFINE'!$B:$C,2,0)</f>
        <v>40</v>
      </c>
      <c r="H41" s="9"/>
    </row>
    <row r="42" spans="1:8">
      <c r="A42" s="20" t="s">
        <v>200</v>
      </c>
      <c r="D42"/>
      <c r="G42" s="4" t="str">
        <f>VLOOKUP($A42,'#DEFINE'!$B:$C,2,0)</f>
        <v>41</v>
      </c>
      <c r="H42" s="9"/>
    </row>
    <row r="43" spans="1:8">
      <c r="A43" s="20" t="s">
        <v>201</v>
      </c>
      <c r="D43"/>
      <c r="G43" s="4" t="str">
        <f>VLOOKUP($A43,'#DEFINE'!$B:$C,2,0)</f>
        <v>42</v>
      </c>
      <c r="H43" s="9"/>
    </row>
    <row r="44" spans="1:8">
      <c r="A44" s="20" t="s">
        <v>202</v>
      </c>
      <c r="D44"/>
      <c r="G44" s="4" t="str">
        <f>VLOOKUP($A44,'#DEFINE'!$B:$C,2,0)</f>
        <v>43</v>
      </c>
      <c r="H44" s="9"/>
    </row>
    <row r="45" spans="1:8">
      <c r="A45" s="20" t="s">
        <v>203</v>
      </c>
      <c r="D45"/>
      <c r="G45" s="4" t="str">
        <f>VLOOKUP($A45,'#DEFINE'!$B:$C,2,0)</f>
        <v>44</v>
      </c>
      <c r="H45" s="9"/>
    </row>
    <row r="46" spans="1:8">
      <c r="A46" s="20" t="s">
        <v>204</v>
      </c>
      <c r="D46"/>
      <c r="G46" s="4" t="str">
        <f>VLOOKUP($A46,'#DEFINE'!$B:$C,2,0)</f>
        <v>45</v>
      </c>
      <c r="H46" s="9"/>
    </row>
    <row r="47" spans="1:8">
      <c r="A47" s="20" t="s">
        <v>205</v>
      </c>
      <c r="D47"/>
      <c r="G47" s="4" t="str">
        <f>VLOOKUP($A47,'#DEFINE'!$B:$C,2,0)</f>
        <v>46</v>
      </c>
      <c r="H47" s="9"/>
    </row>
    <row r="48" spans="1:8">
      <c r="A48" s="20" t="s">
        <v>206</v>
      </c>
      <c r="D48"/>
      <c r="G48" s="4" t="str">
        <f>VLOOKUP($A48,'#DEFINE'!$B:$C,2,0)</f>
        <v>47</v>
      </c>
      <c r="H48" s="9"/>
    </row>
    <row r="49" spans="1:9">
      <c r="A49" s="20" t="s">
        <v>63</v>
      </c>
      <c r="D49"/>
      <c r="G49" s="4" t="str">
        <f>VLOOKUP($A49,'#DEFINE'!$B:$C,2,0)</f>
        <v>48</v>
      </c>
      <c r="H49" s="9"/>
    </row>
    <row r="50" spans="1:9">
      <c r="A50" s="20" t="s">
        <v>207</v>
      </c>
      <c r="D50"/>
      <c r="G50" s="4" t="str">
        <f>VLOOKUP($A50,'#DEFINE'!$B:$C,2,0)</f>
        <v>49</v>
      </c>
      <c r="H50" s="9"/>
      <c r="I50" s="10"/>
    </row>
    <row r="51" spans="1:9">
      <c r="A51" s="20" t="s">
        <v>208</v>
      </c>
      <c r="D51"/>
      <c r="G51" s="4" t="str">
        <f>VLOOKUP($A51,'#DEFINE'!$B:$C,2,0)</f>
        <v>50</v>
      </c>
      <c r="H51" s="9"/>
      <c r="I51" s="11"/>
    </row>
    <row r="52" spans="1:9">
      <c r="A52" s="20" t="s">
        <v>209</v>
      </c>
      <c r="D52"/>
      <c r="G52" s="4" t="str">
        <f>VLOOKUP($A52,'#DEFINE'!$B:$C,2,0)</f>
        <v>51</v>
      </c>
      <c r="H52" s="9"/>
      <c r="I52" s="11"/>
    </row>
    <row r="53" spans="1:9">
      <c r="A53" s="20" t="s">
        <v>210</v>
      </c>
      <c r="D53"/>
      <c r="G53" s="4" t="str">
        <f>VLOOKUP($A53,'#DEFINE'!$B:$C,2,0)</f>
        <v>52</v>
      </c>
      <c r="H53" s="9"/>
    </row>
    <row r="54" spans="1:9">
      <c r="A54" s="20" t="s">
        <v>211</v>
      </c>
      <c r="G54" s="4" t="str">
        <f>VLOOKUP($A54,'#DEFINE'!$B:$C,2,0)</f>
        <v>53</v>
      </c>
      <c r="H54" s="9"/>
    </row>
    <row r="55" spans="1:9">
      <c r="A55" s="20" t="s">
        <v>212</v>
      </c>
      <c r="G55" s="4" t="str">
        <f>VLOOKUP($A55,'#DEFINE'!$B:$C,2,0)</f>
        <v>54</v>
      </c>
      <c r="H55" s="9"/>
    </row>
    <row r="56" spans="1:9">
      <c r="A56" s="20" t="s">
        <v>213</v>
      </c>
      <c r="G56" s="4" t="str">
        <f>VLOOKUP($A56,'#DEFINE'!$B:$C,2,0)</f>
        <v>55</v>
      </c>
      <c r="H56" s="9"/>
    </row>
    <row r="57" spans="1:9">
      <c r="A57" s="20" t="s">
        <v>214</v>
      </c>
      <c r="G57" s="4" t="str">
        <f>VLOOKUP($A57,'#DEFINE'!$B:$C,2,0)</f>
        <v>56</v>
      </c>
      <c r="H57" s="9"/>
    </row>
    <row r="58" spans="1:9">
      <c r="A58" s="20" t="s">
        <v>215</v>
      </c>
      <c r="G58" s="4" t="str">
        <f>VLOOKUP($A58,'#DEFINE'!$B:$C,2,0)</f>
        <v>57</v>
      </c>
      <c r="H58" s="9"/>
    </row>
    <row r="59" spans="1:9">
      <c r="A59" s="20" t="s">
        <v>216</v>
      </c>
      <c r="G59" s="4" t="str">
        <f>VLOOKUP($A59,'#DEFINE'!$B:$C,2,0)</f>
        <v>58</v>
      </c>
      <c r="H59" s="9"/>
    </row>
    <row r="60" spans="1:9">
      <c r="A60" s="20" t="s">
        <v>217</v>
      </c>
      <c r="D60"/>
      <c r="G60" s="4" t="str">
        <f>VLOOKUP($A60,'#DEFINE'!$B:$C,2,0)</f>
        <v>59</v>
      </c>
      <c r="H60" s="9"/>
    </row>
    <row r="61" spans="1:9">
      <c r="A61" s="20" t="s">
        <v>225</v>
      </c>
      <c r="D61"/>
      <c r="G61" s="4" t="str">
        <f>VLOOKUP($A61,'#DEFINE'!$B:$C,2,0)</f>
        <v>60</v>
      </c>
      <c r="H61" s="9"/>
    </row>
    <row r="62" spans="1:9">
      <c r="A62" s="20" t="s">
        <v>224</v>
      </c>
      <c r="G62" s="4" t="str">
        <f>VLOOKUP($A62,'#DEFINE'!$B:$C,2,0)</f>
        <v>61</v>
      </c>
      <c r="H62" s="9"/>
    </row>
    <row r="63" spans="1:9">
      <c r="A63" s="23" t="s">
        <v>237</v>
      </c>
      <c r="G63" s="4" t="str">
        <f>VLOOKUP($A63,'#DEFINE'!$B:$C,2,0)</f>
        <v>62</v>
      </c>
      <c r="H63" s="9"/>
    </row>
    <row r="64" spans="1:9">
      <c r="A64" s="9" t="s">
        <v>238</v>
      </c>
      <c r="G64" s="4" t="str">
        <f>VLOOKUP($A64,'#DEFINE'!$B:$C,2,0)</f>
        <v>63</v>
      </c>
      <c r="H64" s="9"/>
    </row>
    <row r="65" spans="1:8">
      <c r="A65" s="9" t="s">
        <v>218</v>
      </c>
      <c r="G65" s="4" t="str">
        <f>VLOOKUP($A65,'#DEFINE'!$B:$C,2,0)</f>
        <v>64</v>
      </c>
    </row>
    <row r="66" spans="1:8">
      <c r="A66" s="7" t="s">
        <v>219</v>
      </c>
      <c r="G66" s="4" t="str">
        <f>VLOOKUP($A66,'#DEFINE'!$B:$C,2,0)</f>
        <v>65</v>
      </c>
    </row>
    <row r="67" spans="1:8">
      <c r="A67" s="7" t="s">
        <v>220</v>
      </c>
      <c r="G67" s="4" t="str">
        <f>VLOOKUP($A67,'#DEFINE'!$B:$C,2,0)</f>
        <v>66</v>
      </c>
    </row>
    <row r="68" spans="1:8">
      <c r="A68" s="7" t="s">
        <v>221</v>
      </c>
      <c r="G68" s="4" t="str">
        <f>VLOOKUP($A68,'#DEFINE'!$B:$C,2,0)</f>
        <v>67</v>
      </c>
      <c r="H68" s="9"/>
    </row>
    <row r="69" spans="1:8">
      <c r="A69" s="20" t="s">
        <v>222</v>
      </c>
      <c r="G69" s="4" t="str">
        <f>VLOOKUP($A69,'#DEFINE'!$B:$C,2,0)</f>
        <v>68</v>
      </c>
      <c r="H69" s="9"/>
    </row>
    <row r="70" spans="1:8">
      <c r="A70" s="20" t="s">
        <v>223</v>
      </c>
      <c r="G70" s="4" t="str">
        <f>VLOOKUP($A70,'#DEFINE'!$B:$C,2,0)</f>
        <v>69</v>
      </c>
      <c r="H70" s="9"/>
    </row>
    <row r="71" spans="1:8">
      <c r="A71" s="20" t="s">
        <v>179</v>
      </c>
      <c r="G71" s="4" t="str">
        <f>VLOOKUP($A71,'#DEFINE'!$B:$C,2,0)</f>
        <v>70</v>
      </c>
    </row>
    <row r="72" spans="1:8">
      <c r="A72" s="7" t="s">
        <v>246</v>
      </c>
      <c r="G72" s="4" t="str">
        <f>VLOOKUP($A72,'#DEFINE'!$B:$C,2,0)</f>
        <v>71</v>
      </c>
    </row>
    <row r="73" spans="1:8">
      <c r="A73" s="7" t="s">
        <v>247</v>
      </c>
      <c r="G73" s="4" t="str">
        <f>VLOOKUP($A73,'#DEFINE'!$B:$C,2,0)</f>
        <v>72</v>
      </c>
    </row>
    <row r="74" spans="1:8">
      <c r="A74" s="7" t="s">
        <v>244</v>
      </c>
      <c r="G74" s="4" t="str">
        <f>VLOOKUP($A74,'#DEFINE'!$B:$C,2,0)</f>
        <v>73</v>
      </c>
    </row>
    <row r="75" spans="1:8">
      <c r="A75" s="7" t="s">
        <v>253</v>
      </c>
      <c r="G75" s="4" t="str">
        <f>VLOOKUP($A75,'#DEFINE'!$B:$C,2,0)</f>
        <v>74</v>
      </c>
    </row>
    <row r="76" spans="1:8">
      <c r="A76" s="7" t="s">
        <v>254</v>
      </c>
      <c r="G76" s="4" t="str">
        <f>VLOOKUP($A76,'#DEFINE'!$B:$C,2,0)</f>
        <v>75</v>
      </c>
    </row>
    <row r="77" spans="1:8">
      <c r="A77" s="7" t="s">
        <v>256</v>
      </c>
      <c r="G77" s="4" t="str">
        <f>VLOOKUP($A77,'#DEFINE'!$B:$C,2,0)</f>
        <v>76</v>
      </c>
    </row>
    <row r="78" spans="1:8">
      <c r="A78" s="4" t="s">
        <v>262</v>
      </c>
      <c r="G78" s="4" t="str">
        <f>VLOOKUP($A78,'#DEFINE'!$B:$C,2,0)</f>
        <v>77</v>
      </c>
    </row>
    <row r="79" spans="1:8">
      <c r="A79" s="4" t="s">
        <v>264</v>
      </c>
      <c r="G79" s="4" t="str">
        <f>VLOOKUP($A79,'#DEFINE'!$B:$C,2,0)</f>
        <v>78</v>
      </c>
    </row>
    <row r="80" spans="1:8">
      <c r="A80" s="7" t="s">
        <v>266</v>
      </c>
      <c r="G80" s="4" t="str">
        <f>VLOOKUP($A80,'#DEFINE'!$B:$C,2,0)</f>
        <v>79</v>
      </c>
    </row>
    <row r="81" spans="1:7">
      <c r="A81" s="4" t="s">
        <v>268</v>
      </c>
      <c r="G81" s="4" t="str">
        <f>VLOOKUP($A81,'#DEFINE'!$B:$C,2,0)</f>
        <v>80</v>
      </c>
    </row>
    <row r="82" spans="1:7">
      <c r="A82" s="4" t="s">
        <v>270</v>
      </c>
      <c r="G82" s="4" t="str">
        <f>VLOOKUP($A82,'#DEFINE'!$B:$C,2,0)</f>
        <v>81</v>
      </c>
    </row>
    <row r="83" spans="1:7">
      <c r="A83" s="9" t="s">
        <v>272</v>
      </c>
      <c r="G83" s="4" t="str">
        <f>VLOOKUP($A83,'#DEFINE'!$B:$C,2,0)</f>
        <v>82</v>
      </c>
    </row>
    <row r="84" spans="1:7">
      <c r="A84" s="9" t="s">
        <v>274</v>
      </c>
      <c r="G84" s="4" t="str">
        <f>VLOOKUP($A84,'#DEFINE'!$B:$C,2,0)</f>
        <v>83</v>
      </c>
    </row>
    <row r="85" spans="1:7">
      <c r="A85" s="9" t="s">
        <v>276</v>
      </c>
      <c r="G85" s="4" t="str">
        <f>VLOOKUP($A85,'#DEFINE'!$B:$C,2,0)</f>
        <v>84</v>
      </c>
    </row>
    <row r="86" spans="1:7">
      <c r="A86" s="9" t="s">
        <v>278</v>
      </c>
      <c r="G86" s="4" t="str">
        <f>VLOOKUP($A86,'#DEFINE'!$B:$C,2,0)</f>
        <v>85</v>
      </c>
    </row>
    <row r="87" spans="1:7">
      <c r="A87" s="9" t="s">
        <v>280</v>
      </c>
      <c r="G87" s="4" t="str">
        <f>VLOOKUP($A87,'#DEFINE'!$B:$C,2,0)</f>
        <v>86</v>
      </c>
    </row>
    <row r="88" spans="1:7">
      <c r="A88" s="9" t="s">
        <v>282</v>
      </c>
      <c r="G88" s="4" t="str">
        <f>VLOOKUP($A88,'#DEFINE'!$B:$C,2,0)</f>
        <v>87</v>
      </c>
    </row>
    <row r="89" spans="1:7">
      <c r="A89" s="9" t="s">
        <v>285</v>
      </c>
      <c r="G89" s="4" t="str">
        <f>VLOOKUP($A89,'#DEFINE'!$B:$C,2,0)</f>
        <v>88</v>
      </c>
    </row>
    <row r="90" spans="1:7">
      <c r="A90" s="9" t="s">
        <v>292</v>
      </c>
      <c r="G90" s="4" t="str">
        <f>VLOOKUP($A90,'#DEFINE'!$B:$C,2,0)</f>
        <v>89</v>
      </c>
    </row>
    <row r="91" spans="1:7">
      <c r="A91" s="9"/>
      <c r="G91" s="4" t="e">
        <f>VLOOKUP($A91,'#DEFINE'!$B:$C,2,0)</f>
        <v>#N/A</v>
      </c>
    </row>
    <row r="92" spans="1:7">
      <c r="A92" s="9"/>
      <c r="G92" s="4" t="e">
        <f>VLOOKUP($A92,'#DEFINE'!$B:$C,2,0)</f>
        <v>#N/A</v>
      </c>
    </row>
    <row r="93" spans="1:7">
      <c r="A93" s="9"/>
      <c r="G93" s="4" t="e">
        <f>VLOOKUP($A93,'#DEFINE'!$B:$C,2,0)</f>
        <v>#N/A</v>
      </c>
    </row>
    <row r="94" spans="1:7">
      <c r="A94" s="9"/>
      <c r="G94" s="4" t="e">
        <f>VLOOKUP($A94,'#DEFINE'!$B:$C,2,0)</f>
        <v>#N/A</v>
      </c>
    </row>
    <row r="95" spans="1:7">
      <c r="A95" s="9"/>
      <c r="G95" s="4" t="e">
        <f>VLOOKUP($A95,'#DEFINE'!$B:$C,2,0)</f>
        <v>#N/A</v>
      </c>
    </row>
    <row r="96" spans="1:7">
      <c r="A96" s="9"/>
      <c r="G96" s="4" t="e">
        <f>VLOOKUP($A96,'#DEFINE'!$B:$C,2,0)</f>
        <v>#N/A</v>
      </c>
    </row>
    <row r="97" spans="1:7">
      <c r="A97" s="9"/>
      <c r="G97" s="4" t="e">
        <f>VLOOKUP($A97,'#DEFINE'!$B:$C,2,0)</f>
        <v>#N/A</v>
      </c>
    </row>
    <row r="98" spans="1:7">
      <c r="A98" s="9"/>
      <c r="G98" s="4" t="e">
        <f>VLOOKUP($A98,'#DEFINE'!$B:$C,2,0)</f>
        <v>#N/A</v>
      </c>
    </row>
    <row r="99" spans="1:7">
      <c r="A99" s="9"/>
      <c r="G99" s="4" t="e">
        <f>VLOOKUP($A99,'#DEFINE'!$B:$C,2,0)</f>
        <v>#N/A</v>
      </c>
    </row>
    <row r="100" spans="1:7">
      <c r="A100" s="9"/>
      <c r="G100" s="4" t="e">
        <f>VLOOKUP($A100,'#DEFINE'!$B:$C,2,0)</f>
        <v>#N/A</v>
      </c>
    </row>
    <row r="101" spans="1:7">
      <c r="A101" s="9"/>
      <c r="G101" s="4" t="e">
        <f>VLOOKUP($A101,'#DEFINE'!$B:$C,2,0)</f>
        <v>#N/A</v>
      </c>
    </row>
    <row r="102" spans="1:7">
      <c r="A102" s="9"/>
      <c r="G102" s="4" t="e">
        <f>VLOOKUP($A102,'#DEFINE'!$B:$C,2,0)</f>
        <v>#N/A</v>
      </c>
    </row>
    <row r="103" spans="1:7">
      <c r="A103" s="9"/>
      <c r="G103" s="4" t="e">
        <f>VLOOKUP($A103,'#DEFINE'!$B:$C,2,0)</f>
        <v>#N/A</v>
      </c>
    </row>
    <row r="104" spans="1:7">
      <c r="A104" s="9"/>
      <c r="G104" s="4" t="e">
        <f>VLOOKUP($A104,'#DEFINE'!$B:$C,2,0)</f>
        <v>#N/A</v>
      </c>
    </row>
    <row r="105" spans="1:7">
      <c r="A105" s="9"/>
      <c r="G105" s="4" t="e">
        <f>VLOOKUP($A105,'#DEFINE'!$B:$C,2,0)</f>
        <v>#N/A</v>
      </c>
    </row>
    <row r="106" spans="1:7">
      <c r="A106" s="9"/>
    </row>
    <row r="107" spans="1:7">
      <c r="A107" s="9"/>
      <c r="G107" s="4" t="e">
        <f>VLOOKUP($A107,'#DEFINE'!$B:$C,2,0)</f>
        <v>#N/A</v>
      </c>
    </row>
    <row r="108" spans="1:7">
      <c r="A108" s="9"/>
      <c r="G108" s="4" t="e">
        <f>VLOOKUP($A108,'#DEFINE'!$B:$C,2,0)</f>
        <v>#N/A</v>
      </c>
    </row>
    <row r="109" spans="1:7">
      <c r="A109" s="9"/>
      <c r="G109" s="4" t="e">
        <f>VLOOKUP($A109,'#DEFINE'!$B:$C,2,0)</f>
        <v>#N/A</v>
      </c>
    </row>
    <row r="110" spans="1:7">
      <c r="A110" s="9"/>
      <c r="G110" s="4" t="e">
        <f>VLOOKUP($A110,'#DEFINE'!$B:$C,2,0)</f>
        <v>#N/A</v>
      </c>
    </row>
    <row r="111" spans="1:7">
      <c r="A111" s="9"/>
      <c r="G111" s="4" t="e">
        <f>VLOOKUP($A111,'#DEFINE'!$B:$C,2,0)</f>
        <v>#N/A</v>
      </c>
    </row>
    <row r="112" spans="1:7">
      <c r="A112" s="9"/>
      <c r="G112" s="4" t="e">
        <f>VLOOKUP($A112,'#DEFINE'!$B:$C,2,0)</f>
        <v>#N/A</v>
      </c>
    </row>
    <row r="113" spans="1:7">
      <c r="A113" s="9"/>
      <c r="G113" s="4" t="e">
        <f>VLOOKUP($A113,'#DEFINE'!$B:$C,2,0)</f>
        <v>#N/A</v>
      </c>
    </row>
    <row r="114" spans="1:7">
      <c r="A114" s="9"/>
      <c r="G114" s="4" t="e">
        <f>VLOOKUP($A114,'#DEFINE'!$B:$C,2,0)</f>
        <v>#N/A</v>
      </c>
    </row>
    <row r="115" spans="1:7">
      <c r="A115" s="9"/>
      <c r="G115" s="4" t="e">
        <f>VLOOKUP($A115,'#DEFINE'!$B:$C,2,0)</f>
        <v>#N/A</v>
      </c>
    </row>
    <row r="116" spans="1:7">
      <c r="A116" s="9"/>
      <c r="G116" s="4" t="e">
        <f>VLOOKUP($A116,'#DEFINE'!$B:$C,2,0)</f>
        <v>#N/A</v>
      </c>
    </row>
    <row r="117" spans="1:7">
      <c r="A117" s="9"/>
      <c r="G117" s="4" t="e">
        <f>VLOOKUP($A117,'#DEFINE'!$B:$C,2,0)</f>
        <v>#N/A</v>
      </c>
    </row>
    <row r="118" spans="1:7">
      <c r="G118" s="4" t="e">
        <f>VLOOKUP($A118,'#DEFINE'!$B:$C,2,0)</f>
        <v>#N/A</v>
      </c>
    </row>
    <row r="119" spans="1:7">
      <c r="A119" s="9"/>
      <c r="G119" s="4" t="e">
        <f>VLOOKUP($A119,'#DEFINE'!$B:$C,2,0)</f>
        <v>#N/A</v>
      </c>
    </row>
    <row r="120" spans="1:7">
      <c r="A120" s="9"/>
      <c r="G120" s="4" t="e">
        <f>VLOOKUP($A120,'#DEFINE'!$B:$C,2,0)</f>
        <v>#N/A</v>
      </c>
    </row>
    <row r="121" spans="1:7">
      <c r="A121" s="9"/>
      <c r="G121" s="4" t="e">
        <f>VLOOKUP($A121,'#DEFINE'!$B:$C,2,0)</f>
        <v>#N/A</v>
      </c>
    </row>
    <row r="122" spans="1:7">
      <c r="A122" s="9"/>
    </row>
    <row r="123" spans="1:7">
      <c r="A123" s="9"/>
      <c r="B123" s="9"/>
      <c r="C123" s="9"/>
      <c r="G123" s="4" t="e">
        <f>VLOOKUP($A123,'#DEFINE'!$B:$C,2,0)</f>
        <v>#N/A</v>
      </c>
    </row>
    <row r="124" spans="1:7">
      <c r="A124" s="9"/>
      <c r="G124" s="4" t="e">
        <f>VLOOKUP($A124,'#DEFINE'!$B:$C,2,0)</f>
        <v>#N/A</v>
      </c>
    </row>
    <row r="125" spans="1:7">
      <c r="A125" s="9"/>
      <c r="G125" s="4" t="e">
        <f>VLOOKUP($A125,'#DEFINE'!$B:$C,2,0)</f>
        <v>#N/A</v>
      </c>
    </row>
    <row r="126" spans="1:7">
      <c r="A126" s="9"/>
      <c r="G126" s="4" t="e">
        <f>VLOOKUP($A126,'#DEFINE'!$B:$C,2,0)</f>
        <v>#N/A</v>
      </c>
    </row>
    <row r="127" spans="1:7">
      <c r="A127" s="9"/>
      <c r="G127" s="4" t="e">
        <f>VLOOKUP($A127,'#DEFINE'!$B:$C,2,0)</f>
        <v>#N/A</v>
      </c>
    </row>
    <row r="128" spans="1:7">
      <c r="A128" s="9"/>
      <c r="G128" s="4" t="e">
        <f>VLOOKUP($A128,'#DEFINE'!$B:$C,2,0)</f>
        <v>#N/A</v>
      </c>
    </row>
    <row r="129" spans="1:7">
      <c r="A129" s="9"/>
      <c r="G129" s="4" t="e">
        <f>VLOOKUP($A129,'#DEFINE'!$B:$C,2,0)</f>
        <v>#N/A</v>
      </c>
    </row>
    <row r="130" spans="1:7">
      <c r="A130" s="9"/>
      <c r="G130" s="4" t="e">
        <f>VLOOKUP($A130,'#DEFINE'!$B:$C,2,0)</f>
        <v>#N/A</v>
      </c>
    </row>
    <row r="131" spans="1:7">
      <c r="A131" s="9"/>
      <c r="G131" s="4" t="e">
        <f>VLOOKUP($A131,'#DEFINE'!$B:$C,2,0)</f>
        <v>#N/A</v>
      </c>
    </row>
    <row r="132" spans="1:7">
      <c r="A132" s="9"/>
      <c r="G132" s="4" t="e">
        <f>VLOOKUP($A132,'#DEFINE'!$B:$C,2,0)</f>
        <v>#N/A</v>
      </c>
    </row>
    <row r="133" spans="1:7">
      <c r="A133" s="9"/>
      <c r="G133" s="4" t="e">
        <f>VLOOKUP($A133,'#DEFINE'!$B:$C,2,0)</f>
        <v>#N/A</v>
      </c>
    </row>
    <row r="134" spans="1:7">
      <c r="A134" s="9"/>
      <c r="G134" s="4" t="e">
        <f>VLOOKUP($A134,'#DEFINE'!$B:$C,2,0)</f>
        <v>#N/A</v>
      </c>
    </row>
    <row r="135" spans="1:7">
      <c r="A135" s="9"/>
      <c r="G135" s="4" t="e">
        <f>VLOOKUP($A135,'#DEFINE'!$B:$C,2,0)</f>
        <v>#N/A</v>
      </c>
    </row>
    <row r="136" spans="1:7">
      <c r="A136" s="9"/>
      <c r="G136" s="4" t="e">
        <f>VLOOKUP($A136,'#DEFINE'!$B:$C,2,0)</f>
        <v>#N/A</v>
      </c>
    </row>
    <row r="137" spans="1:7">
      <c r="A137" s="9"/>
      <c r="G137" s="4" t="e">
        <f>VLOOKUP($A137,'#DEFINE'!$B:$C,2,0)</f>
        <v>#N/A</v>
      </c>
    </row>
    <row r="138" spans="1:7">
      <c r="A138" s="9"/>
      <c r="G138" s="4" t="e">
        <f>VLOOKUP($A138,'#DEFINE'!$B:$C,2,0)</f>
        <v>#N/A</v>
      </c>
    </row>
    <row r="139" spans="1:7">
      <c r="A139" s="9"/>
      <c r="G139" s="4" t="e">
        <f>VLOOKUP($A139,'#DEFINE'!$B:$C,2,0)</f>
        <v>#N/A</v>
      </c>
    </row>
    <row r="140" spans="1:7">
      <c r="A140" s="9"/>
      <c r="G140" s="4" t="e">
        <f>VLOOKUP($A140,'#DEFINE'!$B:$C,2,0)</f>
        <v>#N/A</v>
      </c>
    </row>
    <row r="141" spans="1:7">
      <c r="A141" s="9"/>
      <c r="G141" s="4" t="e">
        <f>VLOOKUP($A141,'#DEFINE'!$B:$C,2,0)</f>
        <v>#N/A</v>
      </c>
    </row>
    <row r="142" spans="1:7">
      <c r="A142" s="9"/>
      <c r="G142" s="4" t="e">
        <f>VLOOKUP($A142,'#DEFINE'!$B:$C,2,0)</f>
        <v>#N/A</v>
      </c>
    </row>
    <row r="143" spans="1:7">
      <c r="A143" s="9"/>
      <c r="G143" s="4" t="e">
        <f>VLOOKUP($A143,'#DEFINE'!$B:$C,2,0)</f>
        <v>#N/A</v>
      </c>
    </row>
    <row r="144" spans="1:7">
      <c r="A144" s="9"/>
      <c r="G144" s="4" t="e">
        <f>VLOOKUP($A144,'#DEFINE'!$B:$C,2,0)</f>
        <v>#N/A</v>
      </c>
    </row>
    <row r="145" spans="1:7">
      <c r="A145" s="9"/>
      <c r="G145" s="4" t="e">
        <f>VLOOKUP($A145,'#DEFINE'!$B:$C,2,0)</f>
        <v>#N/A</v>
      </c>
    </row>
    <row r="146" spans="1:7">
      <c r="A146" s="9"/>
      <c r="G146" s="4" t="e">
        <f>VLOOKUP($A146,'#DEFINE'!$B:$C,2,0)</f>
        <v>#N/A</v>
      </c>
    </row>
    <row r="147" spans="1:7">
      <c r="A147" s="9"/>
      <c r="G147" s="4" t="e">
        <f>VLOOKUP($A147,'#DEFINE'!$B:$C,2,0)</f>
        <v>#N/A</v>
      </c>
    </row>
    <row r="148" spans="1:7">
      <c r="A148" s="9"/>
      <c r="G148" s="4" t="e">
        <f>VLOOKUP($A148,'#DEFINE'!$B:$C,2,0)</f>
        <v>#N/A</v>
      </c>
    </row>
    <row r="149" spans="1:7">
      <c r="G149" s="4" t="e">
        <f>VLOOKUP($A149,'#DEFINE'!$B:$C,2,0)</f>
        <v>#N/A</v>
      </c>
    </row>
    <row r="150" spans="1:7">
      <c r="G150" s="4" t="e">
        <f>VLOOKUP($A150,'#DEFINE'!$B:$C,2,0)</f>
        <v>#N/A</v>
      </c>
    </row>
    <row r="151" spans="1:7">
      <c r="G151" s="4" t="e">
        <f>VLOOKUP($A151,'#DEFINE'!$B:$C,2,0)</f>
        <v>#N/A</v>
      </c>
    </row>
    <row r="152" spans="1:7">
      <c r="A152" s="9"/>
      <c r="G152" s="4" t="e">
        <f>VLOOKUP($A152,'#DEFINE'!$B:$C,2,0)</f>
        <v>#N/A</v>
      </c>
    </row>
    <row r="153" spans="1:7">
      <c r="A153" s="9"/>
      <c r="G153" s="4" t="e">
        <f>VLOOKUP($A153,'#DEFINE'!$B:$C,2,0)</f>
        <v>#N/A</v>
      </c>
    </row>
    <row r="154" spans="1:7">
      <c r="A154" s="9"/>
      <c r="G154" s="4" t="e">
        <f>VLOOKUP($A154,'#DEFINE'!$B:$C,2,0)</f>
        <v>#N/A</v>
      </c>
    </row>
    <row r="155" spans="1:7">
      <c r="G155" s="4" t="e">
        <f>VLOOKUP($A155,'#DEFINE'!$B:$C,2,0)</f>
        <v>#N/A</v>
      </c>
    </row>
    <row r="156" spans="1:7">
      <c r="G156" s="4" t="e">
        <f>VLOOKUP($A156,'#DEFINE'!$B:$C,2,0)</f>
        <v>#N/A</v>
      </c>
    </row>
    <row r="157" spans="1:7">
      <c r="G157" s="4" t="e">
        <f>VLOOKUP($A157,'#DEFINE'!$B:$C,2,0)</f>
        <v>#N/A</v>
      </c>
    </row>
    <row r="158" spans="1:7">
      <c r="G158" s="4" t="e">
        <f>VLOOKUP($A158,'#DEFINE'!$B:$C,2,0)</f>
        <v>#N/A</v>
      </c>
    </row>
    <row r="159" spans="1:7">
      <c r="G159" s="4" t="e">
        <f>VLOOKUP($A159,'#DEFINE'!$B:$C,2,0)</f>
        <v>#N/A</v>
      </c>
    </row>
    <row r="160" spans="1:7">
      <c r="G160" s="4" t="e">
        <f>VLOOKUP($A160,'#DEFINE'!$B:$C,2,0)</f>
        <v>#N/A</v>
      </c>
    </row>
    <row r="161" spans="7:7">
      <c r="G161" s="4" t="e">
        <f>VLOOKUP($A161,'#DEFINE'!$B:$C,2,0)</f>
        <v>#N/A</v>
      </c>
    </row>
    <row r="162" spans="7:7">
      <c r="G162" s="4" t="e">
        <f>VLOOKUP($A162,'#DEFINE'!$B:$C,2,0)</f>
        <v>#N/A</v>
      </c>
    </row>
    <row r="163" spans="7:7">
      <c r="G163" s="4" t="e">
        <f>VLOOKUP($A163,'#DEFINE'!$B:$C,2,0)</f>
        <v>#N/A</v>
      </c>
    </row>
    <row r="164" spans="7:7">
      <c r="G164" s="4" t="e">
        <f>VLOOKUP($A164,'#DEFINE'!$B:$C,2,0)</f>
        <v>#N/A</v>
      </c>
    </row>
    <row r="165" spans="7:7">
      <c r="G165" s="4" t="e">
        <f>VLOOKUP($A165,'#DEFINE'!$B:$C,2,0)</f>
        <v>#N/A</v>
      </c>
    </row>
    <row r="166" spans="7:7">
      <c r="G166" s="4" t="e">
        <f>VLOOKUP($A166,'#DEFINE'!$B:$C,2,0)</f>
        <v>#N/A</v>
      </c>
    </row>
    <row r="167" spans="7:7">
      <c r="G167" s="4" t="e">
        <f>VLOOKUP($A167,'#DEFINE'!$B:$C,2,0)</f>
        <v>#N/A</v>
      </c>
    </row>
    <row r="168" spans="7:7">
      <c r="G168" s="4" t="e">
        <f>VLOOKUP($A168,'#DEFINE'!$B:$C,2,0)</f>
        <v>#N/A</v>
      </c>
    </row>
    <row r="169" spans="7:7">
      <c r="G169" s="4" t="e">
        <f>VLOOKUP($A169,'#DEFINE'!$B:$C,2,0)</f>
        <v>#N/A</v>
      </c>
    </row>
    <row r="170" spans="7:7">
      <c r="G170" s="4" t="e">
        <f>VLOOKUP($A170,'#DEFINE'!$B:$C,2,0)</f>
        <v>#N/A</v>
      </c>
    </row>
    <row r="171" spans="7:7">
      <c r="G171" s="4" t="e">
        <f>VLOOKUP($A171,'#DEFINE'!$B:$C,2,0)</f>
        <v>#N/A</v>
      </c>
    </row>
    <row r="172" spans="7:7">
      <c r="G172" s="4" t="e">
        <f>VLOOKUP($A172,'#DEFINE'!$B:$C,2,0)</f>
        <v>#N/A</v>
      </c>
    </row>
    <row r="173" spans="7:7">
      <c r="G173" s="4" t="e">
        <f>VLOOKUP($A173,'#DEFINE'!$B:$C,2,0)</f>
        <v>#N/A</v>
      </c>
    </row>
    <row r="174" spans="7:7">
      <c r="G174" s="4" t="e">
        <f>VLOOKUP($A174,'#DEFINE'!$B:$C,2,0)</f>
        <v>#N/A</v>
      </c>
    </row>
    <row r="175" spans="7:7">
      <c r="G175" s="4" t="e">
        <f>VLOOKUP($A175,'#DEFINE'!$B:$C,2,0)</f>
        <v>#N/A</v>
      </c>
    </row>
    <row r="176" spans="7:7">
      <c r="G176" s="4" t="e">
        <f>VLOOKUP($A176,'#DEFINE'!$B:$C,2,0)</f>
        <v>#N/A</v>
      </c>
    </row>
    <row r="177" spans="7:7">
      <c r="G177" s="4" t="e">
        <f>VLOOKUP($A177,'#DEFINE'!$B:$C,2,0)</f>
        <v>#N/A</v>
      </c>
    </row>
    <row r="178" spans="7:7">
      <c r="G178" s="4" t="e">
        <f>VLOOKUP($A178,'#DEFINE'!$B:$C,2,0)</f>
        <v>#N/A</v>
      </c>
    </row>
    <row r="179" spans="7:7">
      <c r="G179" s="4" t="e">
        <f>VLOOKUP($A179,'#DEFINE'!$B:$C,2,0)</f>
        <v>#N/A</v>
      </c>
    </row>
    <row r="180" spans="7:7">
      <c r="G180" s="4" t="e">
        <f>VLOOKUP($A180,'#DEFINE'!$B:$C,2,0)</f>
        <v>#N/A</v>
      </c>
    </row>
    <row r="181" spans="7:7">
      <c r="G181" s="4" t="e">
        <f>VLOOKUP($A181,'#DEFINE'!$B:$C,2,0)</f>
        <v>#N/A</v>
      </c>
    </row>
    <row r="182" spans="7:7">
      <c r="G182" s="4" t="e">
        <f>VLOOKUP($A182,'#DEFINE'!$B:$C,2,0)</f>
        <v>#N/A</v>
      </c>
    </row>
    <row r="183" spans="7:7">
      <c r="G183" s="4" t="e">
        <f>VLOOKUP($A183,'#DEFINE'!$B:$C,2,0)</f>
        <v>#N/A</v>
      </c>
    </row>
    <row r="184" spans="7:7">
      <c r="G184" s="4" t="e">
        <f>VLOOKUP($A184,'#DEFINE'!$B:$C,2,0)</f>
        <v>#N/A</v>
      </c>
    </row>
    <row r="185" spans="7:7">
      <c r="G185" s="4" t="e">
        <f>VLOOKUP($A185,'#DEFINE'!$B:$C,2,0)</f>
        <v>#N/A</v>
      </c>
    </row>
    <row r="186" spans="7:7">
      <c r="G186" s="4" t="e">
        <f>VLOOKUP($A186,'#DEFINE'!$B:$C,2,0)</f>
        <v>#N/A</v>
      </c>
    </row>
    <row r="187" spans="7:7">
      <c r="G187" s="4" t="e">
        <f>VLOOKUP($A187,'#DEFINE'!$B:$C,2,0)</f>
        <v>#N/A</v>
      </c>
    </row>
    <row r="188" spans="7:7">
      <c r="G188" s="4" t="e">
        <f>VLOOKUP($A188,'#DEFINE'!$B:$C,2,0)</f>
        <v>#N/A</v>
      </c>
    </row>
    <row r="189" spans="7:7">
      <c r="G189" s="4" t="e">
        <f>VLOOKUP($A189,'#DEFINE'!$B:$C,2,0)</f>
        <v>#N/A</v>
      </c>
    </row>
    <row r="190" spans="7:7">
      <c r="G190" s="4" t="e">
        <f>VLOOKUP($A190,'#DEFINE'!$B:$C,2,0)</f>
        <v>#N/A</v>
      </c>
    </row>
    <row r="191" spans="7:7">
      <c r="G191" s="4" t="e">
        <f>VLOOKUP($A191,'#DEFINE'!$B:$C,2,0)</f>
        <v>#N/A</v>
      </c>
    </row>
    <row r="192" spans="7:7">
      <c r="G192" s="4" t="e">
        <f>VLOOKUP($A192,'#DEFINE'!$B:$C,2,0)</f>
        <v>#N/A</v>
      </c>
    </row>
    <row r="193" spans="7:7">
      <c r="G193" s="4" t="e">
        <f>VLOOKUP($A193,'#DEFINE'!$B:$C,2,0)</f>
        <v>#N/A</v>
      </c>
    </row>
    <row r="194" spans="7:7">
      <c r="G194" s="4" t="e">
        <f>VLOOKUP($A194,'#DEFINE'!$B:$C,2,0)</f>
        <v>#N/A</v>
      </c>
    </row>
    <row r="195" spans="7:7">
      <c r="G195" s="4" t="e">
        <f>VLOOKUP($A195,'#DEFINE'!$B:$C,2,0)</f>
        <v>#N/A</v>
      </c>
    </row>
    <row r="196" spans="7:7">
      <c r="G196" s="4" t="e">
        <f>VLOOKUP($A196,'#DEFINE'!$B:$C,2,0)</f>
        <v>#N/A</v>
      </c>
    </row>
    <row r="197" spans="7:7">
      <c r="G197" s="4" t="e">
        <f>VLOOKUP($A197,'#DEFINE'!$B:$C,2,0)</f>
        <v>#N/A</v>
      </c>
    </row>
    <row r="198" spans="7:7">
      <c r="G198" s="4" t="e">
        <f>VLOOKUP($A198,'#DEFINE'!$B:$C,2,0)</f>
        <v>#N/A</v>
      </c>
    </row>
    <row r="199" spans="7:7">
      <c r="G199" s="4" t="e">
        <f>VLOOKUP($A199,'#DEFINE'!$B:$C,2,0)</f>
        <v>#N/A</v>
      </c>
    </row>
    <row r="200" spans="7:7">
      <c r="G200" s="4" t="e">
        <f>VLOOKUP($A200,'#DEFINE'!$B:$C,2,0)</f>
        <v>#N/A</v>
      </c>
    </row>
    <row r="201" spans="7:7">
      <c r="G201" s="4" t="e">
        <f>VLOOKUP($A201,'#DEFINE'!$B:$C,2,0)</f>
        <v>#N/A</v>
      </c>
    </row>
    <row r="202" spans="7:7">
      <c r="G202" s="4" t="e">
        <f>VLOOKUP($A202,'#DEFINE'!$B:$C,2,0)</f>
        <v>#N/A</v>
      </c>
    </row>
    <row r="203" spans="7:7">
      <c r="G203" s="4" t="e">
        <f>VLOOKUP($A203,'#DEFINE'!$B:$C,2,0)</f>
        <v>#N/A</v>
      </c>
    </row>
    <row r="204" spans="7:7">
      <c r="G204" s="4" t="e">
        <f>VLOOKUP($A204,'#DEFINE'!$B:$C,2,0)</f>
        <v>#N/A</v>
      </c>
    </row>
    <row r="205" spans="7:7">
      <c r="G205" s="4" t="e">
        <f>VLOOKUP($A205,'#DEFINE'!$B:$C,2,0)</f>
        <v>#N/A</v>
      </c>
    </row>
    <row r="206" spans="7:7">
      <c r="G206" s="4" t="e">
        <f>VLOOKUP($A206,'#DEFINE'!$B:$C,2,0)</f>
        <v>#N/A</v>
      </c>
    </row>
    <row r="207" spans="7:7">
      <c r="G207" s="4" t="e">
        <f>VLOOKUP($A207,'#DEFINE'!$B:$C,2,0)</f>
        <v>#N/A</v>
      </c>
    </row>
    <row r="208" spans="7:7">
      <c r="G208" s="4" t="e">
        <f>VLOOKUP($A208,'#DEFINE'!$B:$C,2,0)</f>
        <v>#N/A</v>
      </c>
    </row>
    <row r="209" spans="7:7">
      <c r="G209" s="4" t="e">
        <f>VLOOKUP($A209,'#DEFINE'!$B:$C,2,0)</f>
        <v>#N/A</v>
      </c>
    </row>
    <row r="210" spans="7:7">
      <c r="G210" s="4" t="e">
        <f>VLOOKUP($A210,'#DEFINE'!$B:$C,2,0)</f>
        <v>#N/A</v>
      </c>
    </row>
    <row r="211" spans="7:7">
      <c r="G211" s="4" t="e">
        <f>VLOOKUP($A211,'#DEFINE'!$B:$C,2,0)</f>
        <v>#N/A</v>
      </c>
    </row>
    <row r="212" spans="7:7">
      <c r="G212" s="4" t="e">
        <f>VLOOKUP($A212,'#DEFINE'!$B:$C,2,0)</f>
        <v>#N/A</v>
      </c>
    </row>
    <row r="213" spans="7:7">
      <c r="G213" s="4" t="e">
        <f>VLOOKUP($A213,'#DEFINE'!$B:$C,2,0)</f>
        <v>#N/A</v>
      </c>
    </row>
    <row r="214" spans="7:7">
      <c r="G214" s="4" t="e">
        <f>VLOOKUP($A214,'#DEFINE'!$B:$C,2,0)</f>
        <v>#N/A</v>
      </c>
    </row>
    <row r="215" spans="7:7">
      <c r="G215" s="4" t="e">
        <f>VLOOKUP($A215,'#DEFINE'!$B:$C,2,0)</f>
        <v>#N/A</v>
      </c>
    </row>
    <row r="216" spans="7:7">
      <c r="G216" s="4" t="e">
        <f>VLOOKUP($A216,'#DEFINE'!$B:$C,2,0)</f>
        <v>#N/A</v>
      </c>
    </row>
    <row r="217" spans="7:7">
      <c r="G217" s="4" t="e">
        <f>VLOOKUP($A217,'#DEFINE'!$B:$C,2,0)</f>
        <v>#N/A</v>
      </c>
    </row>
    <row r="218" spans="7:7">
      <c r="G218" s="4" t="e">
        <f>VLOOKUP($A218,'#DEFINE'!$B:$C,2,0)</f>
        <v>#N/A</v>
      </c>
    </row>
    <row r="219" spans="7:7">
      <c r="G219" s="4" t="e">
        <f>VLOOKUP($A219,'#DEFINE'!$B:$C,2,0)</f>
        <v>#N/A</v>
      </c>
    </row>
    <row r="220" spans="7:7">
      <c r="G220" s="4" t="e">
        <f>VLOOKUP($A220,'#DEFINE'!$B:$C,2,0)</f>
        <v>#N/A</v>
      </c>
    </row>
    <row r="221" spans="7:7">
      <c r="G221" s="4" t="e">
        <f>VLOOKUP($A221,'#DEFINE'!$B:$C,2,0)</f>
        <v>#N/A</v>
      </c>
    </row>
    <row r="222" spans="7:7">
      <c r="G222" s="4" t="e">
        <f>VLOOKUP($A222,'#DEFINE'!$B:$C,2,0)</f>
        <v>#N/A</v>
      </c>
    </row>
    <row r="223" spans="7:7">
      <c r="G223" s="4" t="e">
        <f>VLOOKUP($A223,'#DEFINE'!$B:$C,2,0)</f>
        <v>#N/A</v>
      </c>
    </row>
    <row r="224" spans="7:7">
      <c r="G224" s="4" t="e">
        <f>VLOOKUP($A224,'#DEFINE'!$B:$C,2,0)</f>
        <v>#N/A</v>
      </c>
    </row>
    <row r="225" spans="7:7">
      <c r="G225" s="4" t="e">
        <f>VLOOKUP($A225,'#DEFINE'!$B:$C,2,0)</f>
        <v>#N/A</v>
      </c>
    </row>
    <row r="226" spans="7:7">
      <c r="G226" s="4" t="e">
        <f>VLOOKUP($A226,'#DEFINE'!$B:$C,2,0)</f>
        <v>#N/A</v>
      </c>
    </row>
    <row r="227" spans="7:7">
      <c r="G227" s="4" t="e">
        <f>VLOOKUP($A227,'#DEFINE'!$B:$C,2,0)</f>
        <v>#N/A</v>
      </c>
    </row>
    <row r="228" spans="7:7">
      <c r="G228" s="4" t="e">
        <f>VLOOKUP($A228,'#DEFINE'!$B:$C,2,0)</f>
        <v>#N/A</v>
      </c>
    </row>
    <row r="229" spans="7:7">
      <c r="G229" s="4" t="e">
        <f>VLOOKUP($A229,'#DEFINE'!$B:$C,2,0)</f>
        <v>#N/A</v>
      </c>
    </row>
    <row r="230" spans="7:7">
      <c r="G230" s="4" t="e">
        <f>VLOOKUP($A230,'#DEFINE'!$B:$C,2,0)</f>
        <v>#N/A</v>
      </c>
    </row>
    <row r="231" spans="7:7">
      <c r="G231" s="4" t="e">
        <f>VLOOKUP($A231,'#DEFINE'!$B:$C,2,0)</f>
        <v>#N/A</v>
      </c>
    </row>
    <row r="232" spans="7:7">
      <c r="G232" s="4" t="e">
        <f>VLOOKUP($A232,'#DEFINE'!$B:$C,2,0)</f>
        <v>#N/A</v>
      </c>
    </row>
    <row r="233" spans="7:7">
      <c r="G233" s="4" t="e">
        <f>VLOOKUP($A233,'#DEFINE'!$B:$C,2,0)</f>
        <v>#N/A</v>
      </c>
    </row>
    <row r="234" spans="7:7">
      <c r="G234" s="4" t="e">
        <f>VLOOKUP($A234,'#DEFINE'!$B:$C,2,0)</f>
        <v>#N/A</v>
      </c>
    </row>
    <row r="235" spans="7:7">
      <c r="G235" s="4" t="e">
        <f>VLOOKUP($A235,'#DEFINE'!$B:$C,2,0)</f>
        <v>#N/A</v>
      </c>
    </row>
    <row r="236" spans="7:7">
      <c r="G236" s="4" t="e">
        <f>VLOOKUP($A236,'#DEFINE'!$B:$C,2,0)</f>
        <v>#N/A</v>
      </c>
    </row>
    <row r="237" spans="7:7">
      <c r="G237" s="4" t="e">
        <f>VLOOKUP($A237,'#DEFINE'!$B:$C,2,0)</f>
        <v>#N/A</v>
      </c>
    </row>
    <row r="238" spans="7:7">
      <c r="G238" s="4" t="e">
        <f>VLOOKUP($A238,'#DEFINE'!$B:$C,2,0)</f>
        <v>#N/A</v>
      </c>
    </row>
    <row r="239" spans="7:7">
      <c r="G239" s="4" t="e">
        <f>VLOOKUP($A239,'#DEFINE'!$B:$C,2,0)</f>
        <v>#N/A</v>
      </c>
    </row>
    <row r="240" spans="7:7">
      <c r="G240" s="4" t="e">
        <f>VLOOKUP($A240,'#DEFINE'!$B:$C,2,0)</f>
        <v>#N/A</v>
      </c>
    </row>
    <row r="241" spans="7:7">
      <c r="G241" s="4" t="e">
        <f>VLOOKUP($A241,'#DEFINE'!$B:$C,2,0)</f>
        <v>#N/A</v>
      </c>
    </row>
    <row r="242" spans="7:7">
      <c r="G242" s="4" t="e">
        <f>VLOOKUP($A242,'#DEFINE'!$B:$C,2,0)</f>
        <v>#N/A</v>
      </c>
    </row>
    <row r="243" spans="7:7">
      <c r="G243" s="4" t="e">
        <f>VLOOKUP($A243,'#DEFINE'!$B:$C,2,0)</f>
        <v>#N/A</v>
      </c>
    </row>
    <row r="244" spans="7:7">
      <c r="G244" s="4" t="e">
        <f>VLOOKUP($A244,'#DEFINE'!$B:$C,2,0)</f>
        <v>#N/A</v>
      </c>
    </row>
    <row r="245" spans="7:7">
      <c r="G245" s="4" t="e">
        <f>VLOOKUP($A245,'#DEFINE'!$B:$C,2,0)</f>
        <v>#N/A</v>
      </c>
    </row>
    <row r="246" spans="7:7">
      <c r="G246" s="4" t="e">
        <f>VLOOKUP($A246,'#DEFINE'!$B:$C,2,0)</f>
        <v>#N/A</v>
      </c>
    </row>
    <row r="247" spans="7:7">
      <c r="G247" s="4" t="e">
        <f>VLOOKUP($A247,'#DEFINE'!$B:$C,2,0)</f>
        <v>#N/A</v>
      </c>
    </row>
    <row r="248" spans="7:7">
      <c r="G248" s="4" t="e">
        <f>VLOOKUP($A248,'#DEFINE'!$B:$C,2,0)</f>
        <v>#N/A</v>
      </c>
    </row>
    <row r="249" spans="7:7">
      <c r="G249" s="4" t="e">
        <f>VLOOKUP($A249,'#DEFINE'!$B:$C,2,0)</f>
        <v>#N/A</v>
      </c>
    </row>
    <row r="250" spans="7:7">
      <c r="G250" s="4" t="e">
        <f>VLOOKUP($A250,'#DEFINE'!$B:$C,2,0)</f>
        <v>#N/A</v>
      </c>
    </row>
    <row r="251" spans="7:7">
      <c r="G251" s="4" t="e">
        <f>VLOOKUP($A251,'#DEFINE'!$B:$C,2,0)</f>
        <v>#N/A</v>
      </c>
    </row>
    <row r="252" spans="7:7">
      <c r="G252" s="4" t="e">
        <f>VLOOKUP($A252,'#DEFINE'!$B:$C,2,0)</f>
        <v>#N/A</v>
      </c>
    </row>
    <row r="253" spans="7:7">
      <c r="G253" s="4" t="e">
        <f>VLOOKUP($A253,'#DEFINE'!$B:$C,2,0)</f>
        <v>#N/A</v>
      </c>
    </row>
    <row r="254" spans="7:7">
      <c r="G254" s="4" t="e">
        <f>VLOOKUP($A254,'#DEFINE'!$B:$C,2,0)</f>
        <v>#N/A</v>
      </c>
    </row>
    <row r="255" spans="7:7">
      <c r="G255" s="4" t="e">
        <f>VLOOKUP($A255,'#DEFINE'!$B:$C,2,0)</f>
        <v>#N/A</v>
      </c>
    </row>
    <row r="256" spans="7:7">
      <c r="G256" s="4" t="e">
        <f>VLOOKUP($A256,'#DEFINE'!$B:$C,2,0)</f>
        <v>#N/A</v>
      </c>
    </row>
    <row r="257" spans="7:7">
      <c r="G257" s="4" t="e">
        <f>VLOOKUP($A257,'#DEFINE'!$B:$C,2,0)</f>
        <v>#N/A</v>
      </c>
    </row>
  </sheetData>
  <phoneticPr fontId="2" type="noConversion"/>
  <conditionalFormatting sqref="E1:G1">
    <cfRule type="duplicateValues" dxfId="36" priority="37"/>
  </conditionalFormatting>
  <conditionalFormatting sqref="H1">
    <cfRule type="duplicateValues" dxfId="35" priority="36"/>
  </conditionalFormatting>
  <conditionalFormatting sqref="I1:K1">
    <cfRule type="duplicateValues" dxfId="34" priority="35"/>
  </conditionalFormatting>
  <conditionalFormatting sqref="G1">
    <cfRule type="duplicateValues" dxfId="33" priority="34"/>
  </conditionalFormatting>
  <conditionalFormatting sqref="E1:F1">
    <cfRule type="duplicateValues" dxfId="32" priority="33"/>
  </conditionalFormatting>
  <conditionalFormatting sqref="A1">
    <cfRule type="duplicateValues" dxfId="31" priority="32"/>
  </conditionalFormatting>
  <conditionalFormatting sqref="B1">
    <cfRule type="duplicateValues" dxfId="30" priority="31"/>
  </conditionalFormatting>
  <conditionalFormatting sqref="H27">
    <cfRule type="cellIs" dxfId="29" priority="30" operator="equal">
      <formula>"行動序號"</formula>
    </cfRule>
  </conditionalFormatting>
  <conditionalFormatting sqref="H28">
    <cfRule type="cellIs" dxfId="28" priority="29" operator="equal">
      <formula>"行動序號"</formula>
    </cfRule>
  </conditionalFormatting>
  <conditionalFormatting sqref="H44">
    <cfRule type="cellIs" dxfId="27" priority="28" operator="equal">
      <formula>"行動序號"</formula>
    </cfRule>
  </conditionalFormatting>
  <conditionalFormatting sqref="H45">
    <cfRule type="cellIs" dxfId="26" priority="27" operator="equal">
      <formula>"行動序號"</formula>
    </cfRule>
  </conditionalFormatting>
  <conditionalFormatting sqref="H29:H30">
    <cfRule type="cellIs" dxfId="25" priority="26" operator="equal">
      <formula>"行動序號"</formula>
    </cfRule>
  </conditionalFormatting>
  <conditionalFormatting sqref="H31">
    <cfRule type="cellIs" dxfId="24" priority="25" operator="equal">
      <formula>"行動序號"</formula>
    </cfRule>
  </conditionalFormatting>
  <conditionalFormatting sqref="H54:H55">
    <cfRule type="cellIs" dxfId="23" priority="24" operator="equal">
      <formula>"行動序號"</formula>
    </cfRule>
  </conditionalFormatting>
  <conditionalFormatting sqref="H50:H53">
    <cfRule type="cellIs" dxfId="22" priority="23" operator="equal">
      <formula>"行動序號"</formula>
    </cfRule>
  </conditionalFormatting>
  <conditionalFormatting sqref="H16">
    <cfRule type="cellIs" dxfId="21" priority="22" operator="equal">
      <formula>"行動序號"</formula>
    </cfRule>
  </conditionalFormatting>
  <conditionalFormatting sqref="H56:H57">
    <cfRule type="cellIs" dxfId="20" priority="21" operator="equal">
      <formula>"行動序號"</formula>
    </cfRule>
  </conditionalFormatting>
  <conditionalFormatting sqref="H58:H59">
    <cfRule type="cellIs" dxfId="19" priority="20" operator="equal">
      <formula>"行動序號"</formula>
    </cfRule>
  </conditionalFormatting>
  <conditionalFormatting sqref="H68:H70">
    <cfRule type="cellIs" dxfId="18" priority="19" operator="equal">
      <formula>"行動序號"</formula>
    </cfRule>
  </conditionalFormatting>
  <conditionalFormatting sqref="A110">
    <cfRule type="cellIs" dxfId="17" priority="18" operator="equal">
      <formula>"行動序號"</formula>
    </cfRule>
  </conditionalFormatting>
  <conditionalFormatting sqref="A111">
    <cfRule type="cellIs" dxfId="16" priority="17" operator="equal">
      <formula>"行動序號"</formula>
    </cfRule>
  </conditionalFormatting>
  <conditionalFormatting sqref="A128">
    <cfRule type="cellIs" dxfId="15" priority="16" operator="equal">
      <formula>"行動序號"</formula>
    </cfRule>
  </conditionalFormatting>
  <conditionalFormatting sqref="A129">
    <cfRule type="cellIs" dxfId="14" priority="15" operator="equal">
      <formula>"行動序號"</formula>
    </cfRule>
  </conditionalFormatting>
  <conditionalFormatting sqref="A112:A113">
    <cfRule type="cellIs" dxfId="13" priority="14" operator="equal">
      <formula>"行動序號"</formula>
    </cfRule>
  </conditionalFormatting>
  <conditionalFormatting sqref="A114">
    <cfRule type="cellIs" dxfId="12" priority="13" operator="equal">
      <formula>"行動序號"</formula>
    </cfRule>
  </conditionalFormatting>
  <conditionalFormatting sqref="A138:A139">
    <cfRule type="cellIs" dxfId="11" priority="12" operator="equal">
      <formula>"行動序號"</formula>
    </cfRule>
  </conditionalFormatting>
  <conditionalFormatting sqref="A134:A137">
    <cfRule type="cellIs" dxfId="10" priority="11" operator="equal">
      <formula>"行動序號"</formula>
    </cfRule>
  </conditionalFormatting>
  <conditionalFormatting sqref="A98">
    <cfRule type="cellIs" dxfId="9" priority="10" operator="equal">
      <formula>"行動序號"</formula>
    </cfRule>
  </conditionalFormatting>
  <conditionalFormatting sqref="A140:A141">
    <cfRule type="cellIs" dxfId="8" priority="9" operator="equal">
      <formula>"行動序號"</formula>
    </cfRule>
  </conditionalFormatting>
  <conditionalFormatting sqref="A142:A143">
    <cfRule type="cellIs" dxfId="7" priority="8" operator="equal">
      <formula>"行動序號"</formula>
    </cfRule>
  </conditionalFormatting>
  <conditionalFormatting sqref="A152:A154">
    <cfRule type="cellIs" dxfId="6" priority="7" operator="equal">
      <formula>"行動序號"</formula>
    </cfRule>
  </conditionalFormatting>
  <conditionalFormatting sqref="A123:A1048576 A1 A78:A79 A81:A88 A91:A121">
    <cfRule type="duplicateValues" dxfId="5" priority="6"/>
  </conditionalFormatting>
  <conditionalFormatting sqref="B123:C123">
    <cfRule type="duplicateValues" dxfId="4" priority="5"/>
  </conditionalFormatting>
  <conditionalFormatting sqref="A122">
    <cfRule type="duplicateValues" dxfId="3" priority="4"/>
  </conditionalFormatting>
  <conditionalFormatting sqref="A91:A1048576 A1 A78:A79 A81:A88">
    <cfRule type="duplicateValues" dxfId="2" priority="3"/>
  </conditionalFormatting>
  <conditionalFormatting sqref="A64:A65">
    <cfRule type="cellIs" dxfId="1" priority="2" operator="equal">
      <formula>"行動序號"</formula>
    </cfRule>
  </conditionalFormatting>
  <conditionalFormatting sqref="A89:A90">
    <cfRule type="cellIs" dxfId="0" priority="1" operator="equal">
      <formula>"行動序號"</formula>
    </cfRule>
  </conditionalFormatting>
  <dataValidations count="1">
    <dataValidation type="list" allowBlank="1" showInputMessage="1" showErrorMessage="1" sqref="B26:C26 A110 B24:C24 E24:F24 K24:XFD24 H48 H27 A132" xr:uid="{E80D915D-D088-463D-B54E-93D2A373A753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2198E-54F5-48CE-8549-1E02E20187D7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95FE6-FE8D-43D7-A4B8-DCB80B03AD92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BB90-33B7-4960-809D-25612E794ED0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stage7_card3light_shot1</vt:lpstr>
      <vt:lpstr>#ALIAS</vt:lpstr>
      <vt:lpstr>#DEFINE</vt:lpstr>
      <vt:lpstr>#OPTION</vt:lpstr>
      <vt:lpstr>#PARAM</vt:lpstr>
      <vt:lpstr>#OUTPUT</vt:lpstr>
      <vt:lpstr>#使用說明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2025-04-02T07:54:41Z</dcterms:modified>
</cp:coreProperties>
</file>