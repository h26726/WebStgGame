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"/>
    </mc:Choice>
  </mc:AlternateContent>
  <xr:revisionPtr revIDLastSave="0" documentId="13_ncr:1_{2F7E6E5B-A4A9-4CAD-8B90-F670C54E9426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player1" sheetId="1" r:id="rId1"/>
    <sheet name="#ALIAS" sheetId="74" r:id="rId2"/>
    <sheet name="#DEFINE" sheetId="75" r:id="rId3"/>
    <sheet name="#OPTION" sheetId="76" r:id="rId4"/>
    <sheet name="#PARAM" sheetId="77" r:id="rId5"/>
    <sheet name="#OUTPUT" sheetId="78" r:id="rId6"/>
    <sheet name="#使用說明" sheetId="79" r:id="rId7"/>
  </sheets>
  <functionGroups builtInGroupCount="19"/>
  <externalReferences>
    <externalReference r:id="rId8"/>
  </externalReferences>
  <definedNames>
    <definedName name="_xlnm._FilterDatabase" localSheetId="0" hidden="1">player1!$D$1:$D$142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75" l="1"/>
  <c r="E94" i="75"/>
  <c r="E93" i="75"/>
  <c r="E92" i="75"/>
  <c r="E91" i="75"/>
  <c r="E88" i="75"/>
  <c r="E87" i="75"/>
  <c r="E86" i="75"/>
  <c r="E85" i="75"/>
  <c r="E84" i="75"/>
  <c r="E83" i="75"/>
  <c r="E80" i="75"/>
  <c r="E79" i="75"/>
  <c r="E78" i="75"/>
  <c r="E77" i="75"/>
  <c r="E76" i="75"/>
  <c r="E75" i="75"/>
  <c r="E74" i="75"/>
  <c r="E73" i="75"/>
  <c r="E70" i="75"/>
  <c r="E69" i="75"/>
  <c r="E68" i="75"/>
  <c r="E67" i="75"/>
  <c r="E64" i="75"/>
  <c r="E63" i="75"/>
  <c r="E62" i="75"/>
  <c r="E61" i="75"/>
  <c r="E60" i="75"/>
  <c r="E59" i="75"/>
  <c r="E58" i="75"/>
  <c r="E57" i="75"/>
  <c r="E56" i="75"/>
  <c r="E55" i="75"/>
  <c r="E54" i="75"/>
  <c r="E51" i="75"/>
  <c r="E50" i="75"/>
  <c r="E49" i="75"/>
  <c r="E48" i="75"/>
  <c r="E47" i="75"/>
  <c r="E46" i="75"/>
  <c r="E43" i="75"/>
  <c r="E42" i="75"/>
  <c r="E41" i="75"/>
  <c r="E40" i="75"/>
  <c r="E37" i="75"/>
  <c r="E36" i="75"/>
  <c r="E35" i="75"/>
  <c r="E34" i="75"/>
  <c r="E33" i="75"/>
  <c r="E32" i="75"/>
  <c r="E31" i="75"/>
  <c r="E30" i="75"/>
  <c r="E27" i="75"/>
  <c r="E26" i="75"/>
  <c r="E25" i="75"/>
  <c r="E24" i="75"/>
  <c r="E23" i="75"/>
  <c r="E22" i="75"/>
  <c r="E21" i="75"/>
  <c r="E20" i="75"/>
  <c r="E17" i="75"/>
  <c r="E16" i="75"/>
  <c r="E15" i="75"/>
  <c r="E14" i="75"/>
  <c r="E13" i="75"/>
  <c r="E12" i="75"/>
  <c r="E11" i="75"/>
  <c r="E10" i="75"/>
  <c r="E9" i="75"/>
  <c r="E8" i="75"/>
  <c r="E7" i="75"/>
  <c r="E6" i="75"/>
  <c r="E5" i="75"/>
  <c r="E4" i="75"/>
  <c r="E3" i="75"/>
  <c r="E568" i="1" l="1"/>
  <c r="D568" i="1"/>
  <c r="E567" i="1"/>
  <c r="E566" i="1"/>
  <c r="E564" i="1"/>
  <c r="D564" i="1"/>
  <c r="E563" i="1"/>
  <c r="D563" i="1"/>
  <c r="E562" i="1"/>
  <c r="D562" i="1"/>
  <c r="E561" i="1"/>
  <c r="D561" i="1"/>
  <c r="E560" i="1"/>
  <c r="D560" i="1"/>
  <c r="E559" i="1"/>
  <c r="E558" i="1"/>
  <c r="E557" i="1"/>
  <c r="E556" i="1"/>
  <c r="E555" i="1"/>
  <c r="D555" i="1"/>
  <c r="E553" i="1"/>
  <c r="D553" i="1"/>
  <c r="E552" i="1"/>
  <c r="E551" i="1"/>
  <c r="E549" i="1"/>
  <c r="D549" i="1"/>
  <c r="E548" i="1"/>
  <c r="D548" i="1"/>
  <c r="E547" i="1"/>
  <c r="D547" i="1"/>
  <c r="E546" i="1"/>
  <c r="D546" i="1"/>
  <c r="E545" i="1"/>
  <c r="D545" i="1"/>
  <c r="E544" i="1"/>
  <c r="E543" i="1"/>
  <c r="E542" i="1"/>
  <c r="E541" i="1"/>
  <c r="E540" i="1"/>
  <c r="D540" i="1"/>
  <c r="E538" i="1"/>
  <c r="D538" i="1"/>
  <c r="E537" i="1"/>
  <c r="E536" i="1"/>
  <c r="E534" i="1"/>
  <c r="D534" i="1"/>
  <c r="E533" i="1"/>
  <c r="D533" i="1"/>
  <c r="E532" i="1"/>
  <c r="D532" i="1"/>
  <c r="E531" i="1"/>
  <c r="D531" i="1"/>
  <c r="E530" i="1"/>
  <c r="D530" i="1"/>
  <c r="E529" i="1"/>
  <c r="E528" i="1"/>
  <c r="E527" i="1"/>
  <c r="E526" i="1"/>
  <c r="E525" i="1"/>
  <c r="D525" i="1"/>
  <c r="E523" i="1"/>
  <c r="D523" i="1"/>
  <c r="E522" i="1"/>
  <c r="E521" i="1"/>
  <c r="E519" i="1"/>
  <c r="D519" i="1"/>
  <c r="E518" i="1"/>
  <c r="D518" i="1"/>
  <c r="E517" i="1"/>
  <c r="D517" i="1"/>
  <c r="E516" i="1"/>
  <c r="D516" i="1"/>
  <c r="E515" i="1"/>
  <c r="D515" i="1"/>
  <c r="E514" i="1"/>
  <c r="E513" i="1"/>
  <c r="E512" i="1"/>
  <c r="E511" i="1"/>
  <c r="E510" i="1"/>
  <c r="D510" i="1"/>
  <c r="E508" i="1"/>
  <c r="D508" i="1"/>
  <c r="E507" i="1"/>
  <c r="E506" i="1"/>
  <c r="E504" i="1"/>
  <c r="D504" i="1"/>
  <c r="E503" i="1"/>
  <c r="D503" i="1"/>
  <c r="E502" i="1"/>
  <c r="D502" i="1"/>
  <c r="E501" i="1"/>
  <c r="D501" i="1"/>
  <c r="E500" i="1"/>
  <c r="D500" i="1"/>
  <c r="E499" i="1"/>
  <c r="E498" i="1"/>
  <c r="E497" i="1"/>
  <c r="E496" i="1"/>
  <c r="E495" i="1"/>
  <c r="D495" i="1"/>
  <c r="E493" i="1"/>
  <c r="D493" i="1"/>
  <c r="E492" i="1"/>
  <c r="E491" i="1"/>
  <c r="E489" i="1"/>
  <c r="D489" i="1"/>
  <c r="E488" i="1"/>
  <c r="D488" i="1"/>
  <c r="E487" i="1"/>
  <c r="D487" i="1"/>
  <c r="E486" i="1"/>
  <c r="D486" i="1"/>
  <c r="E485" i="1"/>
  <c r="D485" i="1"/>
  <c r="E484" i="1"/>
  <c r="E483" i="1"/>
  <c r="E482" i="1"/>
  <c r="E481" i="1"/>
  <c r="E480" i="1"/>
  <c r="D480" i="1"/>
  <c r="E478" i="1"/>
  <c r="D478" i="1"/>
  <c r="E477" i="1"/>
  <c r="E476" i="1"/>
  <c r="E474" i="1"/>
  <c r="D474" i="1"/>
  <c r="E473" i="1"/>
  <c r="D473" i="1"/>
  <c r="E472" i="1"/>
  <c r="D472" i="1"/>
  <c r="E471" i="1"/>
  <c r="D471" i="1"/>
  <c r="E470" i="1"/>
  <c r="D470" i="1"/>
  <c r="E469" i="1"/>
  <c r="E468" i="1"/>
  <c r="E467" i="1"/>
  <c r="E466" i="1"/>
  <c r="E465" i="1"/>
  <c r="D465" i="1"/>
  <c r="E463" i="1"/>
  <c r="D463" i="1"/>
  <c r="E462" i="1"/>
  <c r="E461" i="1"/>
  <c r="E459" i="1"/>
  <c r="D459" i="1"/>
  <c r="E458" i="1"/>
  <c r="D458" i="1"/>
  <c r="E457" i="1"/>
  <c r="D457" i="1"/>
  <c r="E456" i="1"/>
  <c r="D456" i="1"/>
  <c r="E455" i="1"/>
  <c r="D455" i="1"/>
  <c r="E454" i="1"/>
  <c r="E453" i="1"/>
  <c r="E452" i="1"/>
  <c r="E451" i="1"/>
  <c r="E450" i="1"/>
  <c r="D450" i="1"/>
  <c r="E448" i="1"/>
  <c r="D448" i="1"/>
  <c r="E447" i="1"/>
  <c r="E446" i="1"/>
  <c r="E444" i="1"/>
  <c r="D444" i="1"/>
  <c r="E443" i="1"/>
  <c r="D443" i="1"/>
  <c r="E442" i="1"/>
  <c r="D442" i="1"/>
  <c r="E441" i="1"/>
  <c r="D441" i="1"/>
  <c r="E440" i="1"/>
  <c r="D440" i="1"/>
  <c r="E439" i="1"/>
  <c r="E438" i="1"/>
  <c r="E437" i="1"/>
  <c r="E436" i="1"/>
  <c r="E435" i="1"/>
  <c r="D435" i="1"/>
  <c r="E433" i="1"/>
  <c r="D433" i="1"/>
  <c r="E432" i="1"/>
  <c r="E431" i="1"/>
  <c r="E429" i="1"/>
  <c r="D429" i="1"/>
  <c r="E428" i="1"/>
  <c r="D428" i="1"/>
  <c r="E427" i="1"/>
  <c r="D427" i="1"/>
  <c r="E426" i="1"/>
  <c r="D426" i="1"/>
  <c r="E425" i="1"/>
  <c r="D425" i="1"/>
  <c r="E424" i="1"/>
  <c r="E423" i="1"/>
  <c r="E422" i="1"/>
  <c r="E421" i="1"/>
  <c r="E420" i="1"/>
  <c r="D420" i="1"/>
  <c r="E418" i="1"/>
  <c r="D418" i="1"/>
  <c r="E417" i="1"/>
  <c r="E416" i="1"/>
  <c r="E414" i="1"/>
  <c r="D414" i="1"/>
  <c r="E413" i="1"/>
  <c r="D413" i="1"/>
  <c r="E412" i="1"/>
  <c r="D412" i="1"/>
  <c r="E411" i="1"/>
  <c r="D411" i="1"/>
  <c r="E410" i="1"/>
  <c r="D410" i="1"/>
  <c r="E409" i="1"/>
  <c r="E408" i="1"/>
  <c r="E407" i="1"/>
  <c r="E406" i="1"/>
  <c r="E405" i="1"/>
  <c r="D405" i="1"/>
  <c r="E403" i="1"/>
  <c r="D403" i="1"/>
  <c r="E402" i="1"/>
  <c r="E401" i="1"/>
  <c r="E399" i="1"/>
  <c r="D399" i="1"/>
  <c r="E398" i="1"/>
  <c r="D398" i="1"/>
  <c r="E397" i="1"/>
  <c r="D397" i="1"/>
  <c r="E396" i="1"/>
  <c r="D396" i="1"/>
  <c r="E395" i="1"/>
  <c r="D395" i="1"/>
  <c r="E394" i="1"/>
  <c r="E393" i="1"/>
  <c r="E392" i="1"/>
  <c r="E391" i="1"/>
  <c r="E390" i="1"/>
  <c r="D390" i="1"/>
  <c r="E388" i="1"/>
  <c r="D388" i="1"/>
  <c r="E387" i="1"/>
  <c r="E386" i="1"/>
  <c r="E384" i="1"/>
  <c r="D384" i="1"/>
  <c r="E383" i="1"/>
  <c r="D383" i="1"/>
  <c r="E382" i="1"/>
  <c r="D382" i="1"/>
  <c r="E381" i="1"/>
  <c r="D381" i="1"/>
  <c r="E380" i="1"/>
  <c r="D380" i="1"/>
  <c r="E379" i="1"/>
  <c r="E378" i="1"/>
  <c r="E377" i="1"/>
  <c r="E376" i="1"/>
  <c r="E375" i="1"/>
  <c r="D375" i="1"/>
  <c r="E373" i="1"/>
  <c r="D373" i="1"/>
  <c r="E372" i="1"/>
  <c r="E371" i="1"/>
  <c r="E369" i="1"/>
  <c r="D369" i="1"/>
  <c r="E368" i="1"/>
  <c r="D368" i="1"/>
  <c r="E367" i="1"/>
  <c r="D367" i="1"/>
  <c r="E366" i="1"/>
  <c r="D366" i="1"/>
  <c r="E365" i="1"/>
  <c r="D365" i="1"/>
  <c r="E364" i="1"/>
  <c r="E363" i="1"/>
  <c r="E362" i="1"/>
  <c r="E361" i="1"/>
  <c r="E360" i="1"/>
  <c r="D360" i="1"/>
  <c r="E358" i="1"/>
  <c r="D358" i="1"/>
  <c r="E357" i="1"/>
  <c r="E356" i="1"/>
  <c r="E354" i="1"/>
  <c r="D354" i="1"/>
  <c r="E353" i="1"/>
  <c r="D353" i="1"/>
  <c r="E352" i="1"/>
  <c r="D352" i="1"/>
  <c r="E351" i="1"/>
  <c r="D351" i="1"/>
  <c r="E350" i="1"/>
  <c r="D350" i="1"/>
  <c r="E349" i="1"/>
  <c r="E348" i="1"/>
  <c r="E347" i="1"/>
  <c r="E346" i="1"/>
  <c r="E345" i="1"/>
  <c r="D345" i="1"/>
  <c r="M330" i="1"/>
  <c r="M215" i="1"/>
  <c r="E191" i="1"/>
  <c r="D191" i="1"/>
  <c r="E190" i="1"/>
  <c r="E189" i="1"/>
  <c r="E188" i="1"/>
  <c r="D188" i="1"/>
  <c r="E187" i="1"/>
  <c r="D187" i="1"/>
  <c r="E186" i="1"/>
  <c r="D186" i="1"/>
  <c r="E185" i="1"/>
  <c r="D185" i="1"/>
  <c r="E184" i="1"/>
  <c r="D184" i="1"/>
  <c r="E183" i="1"/>
  <c r="E182" i="1"/>
  <c r="E181" i="1"/>
  <c r="E180" i="1"/>
  <c r="E179" i="1"/>
  <c r="D179" i="1"/>
  <c r="E177" i="1"/>
  <c r="D177" i="1"/>
  <c r="E176" i="1"/>
  <c r="E175" i="1"/>
  <c r="E174" i="1"/>
  <c r="D174" i="1"/>
  <c r="E173" i="1"/>
  <c r="D173" i="1"/>
  <c r="E172" i="1"/>
  <c r="D172" i="1"/>
  <c r="E171" i="1"/>
  <c r="D171" i="1"/>
  <c r="E170" i="1"/>
  <c r="D170" i="1"/>
  <c r="E169" i="1"/>
  <c r="E168" i="1"/>
  <c r="E167" i="1"/>
  <c r="E166" i="1"/>
  <c r="E165" i="1"/>
  <c r="D165" i="1"/>
  <c r="E163" i="1"/>
  <c r="D163" i="1"/>
  <c r="E162" i="1"/>
  <c r="E161" i="1"/>
  <c r="E160" i="1"/>
  <c r="D160" i="1"/>
  <c r="E159" i="1"/>
  <c r="D159" i="1"/>
  <c r="E158" i="1"/>
  <c r="D158" i="1"/>
  <c r="E157" i="1"/>
  <c r="D157" i="1"/>
  <c r="E156" i="1"/>
  <c r="D156" i="1"/>
  <c r="E155" i="1"/>
  <c r="E154" i="1"/>
  <c r="E153" i="1"/>
  <c r="E152" i="1"/>
  <c r="E151" i="1"/>
  <c r="D151" i="1"/>
  <c r="D136" i="1"/>
  <c r="M137" i="1" s="1"/>
  <c r="A135" i="1"/>
  <c r="E318" i="1"/>
  <c r="D318" i="1"/>
  <c r="E317" i="1"/>
  <c r="E316" i="1"/>
  <c r="E314" i="1"/>
  <c r="D314" i="1"/>
  <c r="E313" i="1"/>
  <c r="D313" i="1"/>
  <c r="E312" i="1"/>
  <c r="D312" i="1"/>
  <c r="E311" i="1"/>
  <c r="D311" i="1"/>
  <c r="E310" i="1"/>
  <c r="D310" i="1"/>
  <c r="E309" i="1"/>
  <c r="E308" i="1"/>
  <c r="E307" i="1"/>
  <c r="E306" i="1"/>
  <c r="E305" i="1"/>
  <c r="D305" i="1"/>
  <c r="E303" i="1"/>
  <c r="D303" i="1"/>
  <c r="E302" i="1"/>
  <c r="E301" i="1"/>
  <c r="E299" i="1"/>
  <c r="D299" i="1"/>
  <c r="E298" i="1"/>
  <c r="D298" i="1"/>
  <c r="E297" i="1"/>
  <c r="D297" i="1"/>
  <c r="E296" i="1"/>
  <c r="D296" i="1"/>
  <c r="E295" i="1"/>
  <c r="D295" i="1"/>
  <c r="E294" i="1"/>
  <c r="E293" i="1"/>
  <c r="E292" i="1"/>
  <c r="E291" i="1"/>
  <c r="E290" i="1"/>
  <c r="D290" i="1"/>
  <c r="E288" i="1"/>
  <c r="D288" i="1"/>
  <c r="E287" i="1"/>
  <c r="E286" i="1"/>
  <c r="E284" i="1"/>
  <c r="D284" i="1"/>
  <c r="E283" i="1"/>
  <c r="D283" i="1"/>
  <c r="E282" i="1"/>
  <c r="D282" i="1"/>
  <c r="E281" i="1"/>
  <c r="D281" i="1"/>
  <c r="E280" i="1"/>
  <c r="D280" i="1"/>
  <c r="E279" i="1"/>
  <c r="E278" i="1"/>
  <c r="E277" i="1"/>
  <c r="E276" i="1"/>
  <c r="E275" i="1"/>
  <c r="D275" i="1"/>
  <c r="E273" i="1"/>
  <c r="D273" i="1"/>
  <c r="E272" i="1"/>
  <c r="E271" i="1"/>
  <c r="E269" i="1"/>
  <c r="D269" i="1"/>
  <c r="E268" i="1"/>
  <c r="D268" i="1"/>
  <c r="E267" i="1"/>
  <c r="D267" i="1"/>
  <c r="E266" i="1"/>
  <c r="D266" i="1"/>
  <c r="E265" i="1"/>
  <c r="D265" i="1"/>
  <c r="E264" i="1"/>
  <c r="E263" i="1"/>
  <c r="E262" i="1"/>
  <c r="E261" i="1"/>
  <c r="E260" i="1"/>
  <c r="D260" i="1"/>
  <c r="E258" i="1"/>
  <c r="D258" i="1"/>
  <c r="E257" i="1"/>
  <c r="E256" i="1"/>
  <c r="E254" i="1"/>
  <c r="D254" i="1"/>
  <c r="E253" i="1"/>
  <c r="D253" i="1"/>
  <c r="E252" i="1"/>
  <c r="D252" i="1"/>
  <c r="E251" i="1"/>
  <c r="D251" i="1"/>
  <c r="E250" i="1"/>
  <c r="D250" i="1"/>
  <c r="E249" i="1"/>
  <c r="E248" i="1"/>
  <c r="E247" i="1"/>
  <c r="E246" i="1"/>
  <c r="E245" i="1"/>
  <c r="D245" i="1"/>
  <c r="E243" i="1"/>
  <c r="D243" i="1"/>
  <c r="E242" i="1"/>
  <c r="E241" i="1"/>
  <c r="E239" i="1"/>
  <c r="D239" i="1"/>
  <c r="E238" i="1"/>
  <c r="D238" i="1"/>
  <c r="E237" i="1"/>
  <c r="D237" i="1"/>
  <c r="E236" i="1"/>
  <c r="D236" i="1"/>
  <c r="E235" i="1"/>
  <c r="D235" i="1"/>
  <c r="E234" i="1"/>
  <c r="E233" i="1"/>
  <c r="E232" i="1"/>
  <c r="E231" i="1"/>
  <c r="E230" i="1"/>
  <c r="D230" i="1"/>
  <c r="E228" i="1"/>
  <c r="D228" i="1"/>
  <c r="E227" i="1"/>
  <c r="E226" i="1"/>
  <c r="E224" i="1"/>
  <c r="D224" i="1"/>
  <c r="E223" i="1"/>
  <c r="D223" i="1"/>
  <c r="E222" i="1"/>
  <c r="D222" i="1"/>
  <c r="E221" i="1"/>
  <c r="D221" i="1"/>
  <c r="E220" i="1"/>
  <c r="D220" i="1"/>
  <c r="E219" i="1"/>
  <c r="E218" i="1"/>
  <c r="E217" i="1"/>
  <c r="E216" i="1"/>
  <c r="E215" i="1"/>
  <c r="D215" i="1"/>
  <c r="B136" i="1" l="1"/>
  <c r="C136" i="1" s="1"/>
  <c r="M146" i="1" s="1"/>
  <c r="E121" i="1" l="1"/>
  <c r="D121" i="1"/>
  <c r="E108" i="1"/>
  <c r="D108" i="1"/>
  <c r="E95" i="1"/>
  <c r="D95" i="1"/>
  <c r="E78" i="1"/>
  <c r="D78" i="1"/>
  <c r="E63" i="1"/>
  <c r="D63" i="1"/>
  <c r="E48" i="1"/>
  <c r="D48" i="1"/>
  <c r="E47" i="1"/>
  <c r="D47" i="1"/>
  <c r="E62" i="1"/>
  <c r="D62" i="1"/>
  <c r="E77" i="1"/>
  <c r="D77" i="1"/>
  <c r="E94" i="1"/>
  <c r="D94" i="1"/>
  <c r="E107" i="1"/>
  <c r="D107" i="1"/>
  <c r="E120" i="1"/>
  <c r="D120" i="1"/>
  <c r="E342" i="1" l="1"/>
  <c r="E212" i="1"/>
  <c r="D329" i="1"/>
  <c r="A328" i="1"/>
  <c r="D199" i="1"/>
  <c r="M200" i="1" s="1"/>
  <c r="A198" i="1"/>
  <c r="E148" i="1"/>
  <c r="E149" i="1"/>
  <c r="E123" i="1"/>
  <c r="D123" i="1"/>
  <c r="E110" i="1"/>
  <c r="D110" i="1"/>
  <c r="E97" i="1"/>
  <c r="D97" i="1"/>
  <c r="E80" i="1"/>
  <c r="D80" i="1"/>
  <c r="E65" i="1"/>
  <c r="D65" i="1"/>
  <c r="E50" i="1"/>
  <c r="D50" i="1"/>
  <c r="E31" i="1"/>
  <c r="D31" i="1"/>
  <c r="E25" i="1"/>
  <c r="D25" i="1"/>
  <c r="E17" i="1"/>
  <c r="D17" i="1"/>
  <c r="E13" i="1"/>
  <c r="D13" i="1"/>
  <c r="B199" i="1" l="1"/>
  <c r="B329" i="1"/>
  <c r="D84" i="1"/>
  <c r="D69" i="1"/>
  <c r="D54" i="1"/>
  <c r="E83" i="1"/>
  <c r="D83" i="1"/>
  <c r="E68" i="1"/>
  <c r="D68" i="1"/>
  <c r="D53" i="1"/>
  <c r="E53" i="1"/>
  <c r="E55" i="1"/>
  <c r="E85" i="1"/>
  <c r="D85" i="1"/>
  <c r="E82" i="1"/>
  <c r="D82" i="1"/>
  <c r="E81" i="1"/>
  <c r="D81" i="1"/>
  <c r="E79" i="1"/>
  <c r="D79" i="1"/>
  <c r="E76" i="1"/>
  <c r="D76" i="1"/>
  <c r="E75" i="1"/>
  <c r="E74" i="1"/>
  <c r="E73" i="1"/>
  <c r="E72" i="1"/>
  <c r="D72" i="1"/>
  <c r="E70" i="1"/>
  <c r="D70" i="1"/>
  <c r="E67" i="1"/>
  <c r="D67" i="1"/>
  <c r="E66" i="1"/>
  <c r="D66" i="1"/>
  <c r="E64" i="1"/>
  <c r="D64" i="1"/>
  <c r="E61" i="1"/>
  <c r="D61" i="1"/>
  <c r="E60" i="1"/>
  <c r="E59" i="1"/>
  <c r="E58" i="1"/>
  <c r="E57" i="1"/>
  <c r="D57" i="1"/>
  <c r="D55" i="1"/>
  <c r="E52" i="1"/>
  <c r="D52" i="1"/>
  <c r="E51" i="1"/>
  <c r="D51" i="1"/>
  <c r="E49" i="1"/>
  <c r="D49" i="1"/>
  <c r="E46" i="1"/>
  <c r="D46" i="1"/>
  <c r="E45" i="1"/>
  <c r="E44" i="1"/>
  <c r="E43" i="1"/>
  <c r="E42" i="1"/>
  <c r="D42" i="1"/>
  <c r="D39" i="1"/>
  <c r="E341" i="1"/>
  <c r="E211" i="1"/>
  <c r="E213" i="1"/>
  <c r="E147" i="1"/>
  <c r="D330" i="1"/>
  <c r="E330" i="1"/>
  <c r="E331" i="1"/>
  <c r="E332" i="1"/>
  <c r="E333" i="1"/>
  <c r="E334" i="1"/>
  <c r="D335" i="1"/>
  <c r="E335" i="1"/>
  <c r="D336" i="1"/>
  <c r="E336" i="1"/>
  <c r="D337" i="1"/>
  <c r="E337" i="1"/>
  <c r="D338" i="1"/>
  <c r="E338" i="1"/>
  <c r="D339" i="1"/>
  <c r="E339" i="1"/>
  <c r="D343" i="1"/>
  <c r="E343" i="1"/>
  <c r="D213" i="1"/>
  <c r="E209" i="1"/>
  <c r="D209" i="1"/>
  <c r="E208" i="1"/>
  <c r="D208" i="1"/>
  <c r="E207" i="1"/>
  <c r="D207" i="1"/>
  <c r="E206" i="1"/>
  <c r="D206" i="1"/>
  <c r="E205" i="1"/>
  <c r="D205" i="1"/>
  <c r="E204" i="1"/>
  <c r="E203" i="1"/>
  <c r="E202" i="1"/>
  <c r="E201" i="1"/>
  <c r="E200" i="1"/>
  <c r="D200" i="1"/>
  <c r="D129" i="1"/>
  <c r="E126" i="1"/>
  <c r="D126" i="1"/>
  <c r="E125" i="1"/>
  <c r="D125" i="1"/>
  <c r="E124" i="1"/>
  <c r="D124" i="1"/>
  <c r="E122" i="1"/>
  <c r="D122" i="1"/>
  <c r="E119" i="1"/>
  <c r="D119" i="1"/>
  <c r="E118" i="1"/>
  <c r="E117" i="1"/>
  <c r="E116" i="1"/>
  <c r="E115" i="1"/>
  <c r="D115" i="1"/>
  <c r="E113" i="1"/>
  <c r="D113" i="1"/>
  <c r="E112" i="1"/>
  <c r="D112" i="1"/>
  <c r="E111" i="1"/>
  <c r="D111" i="1"/>
  <c r="E109" i="1"/>
  <c r="D109" i="1"/>
  <c r="E106" i="1"/>
  <c r="D106" i="1"/>
  <c r="E105" i="1"/>
  <c r="E104" i="1"/>
  <c r="E103" i="1"/>
  <c r="E102" i="1"/>
  <c r="D102" i="1"/>
  <c r="E141" i="1"/>
  <c r="D137" i="1"/>
  <c r="E137" i="1"/>
  <c r="E138" i="1"/>
  <c r="E139" i="1"/>
  <c r="E140" i="1"/>
  <c r="D142" i="1"/>
  <c r="E142" i="1"/>
  <c r="D143" i="1"/>
  <c r="E143" i="1"/>
  <c r="D144" i="1"/>
  <c r="E144" i="1"/>
  <c r="D145" i="1"/>
  <c r="E145" i="1"/>
  <c r="D146" i="1"/>
  <c r="E146" i="1"/>
  <c r="D149" i="1"/>
  <c r="E91" i="1"/>
  <c r="E90" i="1"/>
  <c r="D344" i="1" l="1"/>
  <c r="D389" i="1"/>
  <c r="D374" i="1"/>
  <c r="D359" i="1"/>
  <c r="D150" i="1"/>
  <c r="D214" i="1"/>
  <c r="D229" i="1" s="1"/>
  <c r="G209" i="1"/>
  <c r="I209" i="1" s="1"/>
  <c r="G207" i="1"/>
  <c r="C199" i="1"/>
  <c r="M204" i="1" s="1"/>
  <c r="C329" i="1"/>
  <c r="M334" i="1" s="1"/>
  <c r="G339" i="1"/>
  <c r="I339" i="1" s="1"/>
  <c r="G337" i="1"/>
  <c r="M337" i="1" s="1"/>
  <c r="M390" i="1" l="1"/>
  <c r="B389" i="1"/>
  <c r="B374" i="1"/>
  <c r="M375" i="1"/>
  <c r="D404" i="1"/>
  <c r="B359" i="1"/>
  <c r="M360" i="1"/>
  <c r="M345" i="1"/>
  <c r="B344" i="1"/>
  <c r="D419" i="1"/>
  <c r="D164" i="1"/>
  <c r="B150" i="1"/>
  <c r="M151" i="1"/>
  <c r="C150" i="1"/>
  <c r="M160" i="1" s="1"/>
  <c r="M230" i="1"/>
  <c r="B229" i="1"/>
  <c r="B214" i="1"/>
  <c r="D244" i="1"/>
  <c r="D259" i="1" s="1"/>
  <c r="D274" i="1" s="1"/>
  <c r="H339" i="1"/>
  <c r="M339" i="1" s="1"/>
  <c r="H209" i="1"/>
  <c r="M209" i="1" s="1"/>
  <c r="M207" i="1"/>
  <c r="G369" i="1" l="1"/>
  <c r="G367" i="1"/>
  <c r="M367" i="1" s="1"/>
  <c r="G384" i="1"/>
  <c r="G382" i="1"/>
  <c r="M382" i="1" s="1"/>
  <c r="G352" i="1"/>
  <c r="M352" i="1" s="1"/>
  <c r="G354" i="1"/>
  <c r="G399" i="1"/>
  <c r="G397" i="1"/>
  <c r="M397" i="1" s="1"/>
  <c r="C344" i="1"/>
  <c r="M349" i="1" s="1"/>
  <c r="M405" i="1"/>
  <c r="C404" i="1"/>
  <c r="M409" i="1" s="1"/>
  <c r="B404" i="1"/>
  <c r="C389" i="1"/>
  <c r="M394" i="1" s="1"/>
  <c r="C359" i="1"/>
  <c r="M364" i="1" s="1"/>
  <c r="B419" i="1"/>
  <c r="M420" i="1"/>
  <c r="D434" i="1"/>
  <c r="C374" i="1"/>
  <c r="M379" i="1" s="1"/>
  <c r="B164" i="1"/>
  <c r="C164" i="1" s="1"/>
  <c r="M174" i="1" s="1"/>
  <c r="M165" i="1"/>
  <c r="D178" i="1"/>
  <c r="B274" i="1"/>
  <c r="M275" i="1"/>
  <c r="G224" i="1"/>
  <c r="G222" i="1"/>
  <c r="M222" i="1" s="1"/>
  <c r="D289" i="1"/>
  <c r="G239" i="1"/>
  <c r="G237" i="1"/>
  <c r="M237" i="1" s="1"/>
  <c r="B244" i="1"/>
  <c r="M245" i="1"/>
  <c r="C229" i="1"/>
  <c r="M234" i="1" s="1"/>
  <c r="M260" i="1"/>
  <c r="B259" i="1"/>
  <c r="C259" i="1" s="1"/>
  <c r="M264" i="1" s="1"/>
  <c r="C214" i="1"/>
  <c r="M219" i="1" s="1"/>
  <c r="I354" i="1" l="1"/>
  <c r="H354" i="1"/>
  <c r="M354" i="1" s="1"/>
  <c r="G427" i="1"/>
  <c r="M427" i="1" s="1"/>
  <c r="G429" i="1"/>
  <c r="C419" i="1"/>
  <c r="M424" i="1" s="1"/>
  <c r="H384" i="1"/>
  <c r="M384" i="1" s="1"/>
  <c r="I384" i="1"/>
  <c r="I399" i="1"/>
  <c r="H399" i="1"/>
  <c r="M435" i="1"/>
  <c r="B434" i="1"/>
  <c r="D449" i="1"/>
  <c r="G414" i="1"/>
  <c r="G412" i="1"/>
  <c r="M412" i="1" s="1"/>
  <c r="I369" i="1"/>
  <c r="H369" i="1"/>
  <c r="M369" i="1" s="1"/>
  <c r="B178" i="1"/>
  <c r="C178" i="1" s="1"/>
  <c r="M188" i="1" s="1"/>
  <c r="M179" i="1"/>
  <c r="B289" i="1"/>
  <c r="C289" i="1" s="1"/>
  <c r="M294" i="1" s="1"/>
  <c r="M290" i="1"/>
  <c r="G254" i="1"/>
  <c r="G252" i="1"/>
  <c r="M252" i="1" s="1"/>
  <c r="H224" i="1"/>
  <c r="I224" i="1"/>
  <c r="C244" i="1"/>
  <c r="M249" i="1" s="1"/>
  <c r="H239" i="1"/>
  <c r="I239" i="1"/>
  <c r="G284" i="1"/>
  <c r="G282" i="1"/>
  <c r="M282" i="1" s="1"/>
  <c r="G267" i="1"/>
  <c r="M267" i="1" s="1"/>
  <c r="G269" i="1"/>
  <c r="D304" i="1"/>
  <c r="C274" i="1"/>
  <c r="M279" i="1" s="1"/>
  <c r="B449" i="1" l="1"/>
  <c r="M450" i="1"/>
  <c r="I414" i="1"/>
  <c r="H414" i="1"/>
  <c r="G444" i="1"/>
  <c r="G442" i="1"/>
  <c r="M442" i="1" s="1"/>
  <c r="D464" i="1"/>
  <c r="C434" i="1"/>
  <c r="M439" i="1" s="1"/>
  <c r="I429" i="1"/>
  <c r="H429" i="1"/>
  <c r="M429" i="1" s="1"/>
  <c r="M399" i="1"/>
  <c r="M224" i="1"/>
  <c r="H254" i="1"/>
  <c r="I254" i="1"/>
  <c r="I284" i="1"/>
  <c r="H284" i="1"/>
  <c r="M284" i="1" s="1"/>
  <c r="B304" i="1"/>
  <c r="M305" i="1"/>
  <c r="M239" i="1"/>
  <c r="I269" i="1"/>
  <c r="H269" i="1"/>
  <c r="G299" i="1"/>
  <c r="G297" i="1"/>
  <c r="M297" i="1" s="1"/>
  <c r="D494" i="1" l="1"/>
  <c r="B464" i="1"/>
  <c r="M465" i="1"/>
  <c r="C464" i="1"/>
  <c r="M469" i="1" s="1"/>
  <c r="D479" i="1"/>
  <c r="I444" i="1"/>
  <c r="H444" i="1"/>
  <c r="G459" i="1"/>
  <c r="G457" i="1"/>
  <c r="M457" i="1" s="1"/>
  <c r="M414" i="1"/>
  <c r="C449" i="1"/>
  <c r="M454" i="1" s="1"/>
  <c r="M269" i="1"/>
  <c r="I299" i="1"/>
  <c r="H299" i="1"/>
  <c r="G314" i="1"/>
  <c r="G312" i="1"/>
  <c r="M312" i="1" s="1"/>
  <c r="C304" i="1"/>
  <c r="M309" i="1" s="1"/>
  <c r="M254" i="1"/>
  <c r="E21" i="1"/>
  <c r="E22" i="1"/>
  <c r="E23" i="1"/>
  <c r="E24" i="1"/>
  <c r="E26" i="1"/>
  <c r="E27" i="1"/>
  <c r="E93" i="1"/>
  <c r="E96" i="1"/>
  <c r="D93" i="1"/>
  <c r="E92" i="1"/>
  <c r="E9" i="1"/>
  <c r="E10" i="1"/>
  <c r="E11" i="1"/>
  <c r="E8" i="1"/>
  <c r="D8" i="1"/>
  <c r="E99" i="1"/>
  <c r="D99" i="1"/>
  <c r="E98" i="1"/>
  <c r="D98" i="1"/>
  <c r="D96" i="1"/>
  <c r="E16" i="1"/>
  <c r="D16" i="1"/>
  <c r="E34" i="1"/>
  <c r="D34" i="1"/>
  <c r="E7" i="1"/>
  <c r="D7" i="1"/>
  <c r="E100" i="1"/>
  <c r="E89" i="1"/>
  <c r="E36" i="1"/>
  <c r="E35" i="1"/>
  <c r="E33" i="1"/>
  <c r="E32" i="1"/>
  <c r="E30" i="1"/>
  <c r="E29" i="1"/>
  <c r="E28" i="1"/>
  <c r="E20" i="1"/>
  <c r="E19" i="1"/>
  <c r="E18" i="1"/>
  <c r="E15" i="1"/>
  <c r="E14" i="1"/>
  <c r="E12" i="1"/>
  <c r="D12" i="1"/>
  <c r="D11" i="1"/>
  <c r="D14" i="1"/>
  <c r="D15" i="1"/>
  <c r="D18" i="1"/>
  <c r="D19" i="1"/>
  <c r="D20" i="1"/>
  <c r="D22" i="1"/>
  <c r="D23" i="1"/>
  <c r="D24" i="1"/>
  <c r="D26" i="1"/>
  <c r="D27" i="1"/>
  <c r="D28" i="1"/>
  <c r="D29" i="1"/>
  <c r="D30" i="1"/>
  <c r="D32" i="1"/>
  <c r="D33" i="1"/>
  <c r="D35" i="1"/>
  <c r="D36" i="1"/>
  <c r="D88" i="1"/>
  <c r="D89" i="1"/>
  <c r="D100" i="1"/>
  <c r="D10" i="1"/>
  <c r="C494" i="1" l="1"/>
  <c r="M499" i="1" s="1"/>
  <c r="B494" i="1"/>
  <c r="M495" i="1"/>
  <c r="D509" i="1"/>
  <c r="M480" i="1"/>
  <c r="B479" i="1"/>
  <c r="I459" i="1"/>
  <c r="H459" i="1"/>
  <c r="M459" i="1" s="1"/>
  <c r="G474" i="1"/>
  <c r="G472" i="1"/>
  <c r="M472" i="1" s="1"/>
  <c r="M444" i="1"/>
  <c r="M299" i="1"/>
  <c r="H314" i="1"/>
  <c r="I314" i="1"/>
  <c r="G489" i="1" l="1"/>
  <c r="G487" i="1"/>
  <c r="M487" i="1" s="1"/>
  <c r="C479" i="1"/>
  <c r="M484" i="1" s="1"/>
  <c r="H474" i="1"/>
  <c r="I474" i="1"/>
  <c r="M510" i="1"/>
  <c r="C509" i="1"/>
  <c r="M514" i="1" s="1"/>
  <c r="B509" i="1"/>
  <c r="D524" i="1"/>
  <c r="G504" i="1"/>
  <c r="G502" i="1"/>
  <c r="M502" i="1" s="1"/>
  <c r="M314" i="1"/>
  <c r="I489" i="1" l="1"/>
  <c r="H489" i="1"/>
  <c r="M489" i="1" s="1"/>
  <c r="I504" i="1"/>
  <c r="H504" i="1"/>
  <c r="M504" i="1" s="1"/>
  <c r="B524" i="1"/>
  <c r="M525" i="1"/>
  <c r="D539" i="1"/>
  <c r="M474" i="1"/>
  <c r="G519" i="1"/>
  <c r="G517" i="1"/>
  <c r="M517" i="1" s="1"/>
  <c r="G534" i="1" l="1"/>
  <c r="G532" i="1"/>
  <c r="M532" i="1" s="1"/>
  <c r="C524" i="1"/>
  <c r="M529" i="1" s="1"/>
  <c r="I519" i="1"/>
  <c r="H519" i="1"/>
  <c r="M519" i="1" s="1"/>
  <c r="B539" i="1"/>
  <c r="C539" i="1" s="1"/>
  <c r="M544" i="1" s="1"/>
  <c r="M540" i="1"/>
  <c r="D554" i="1"/>
  <c r="B554" i="1" l="1"/>
  <c r="C554" i="1" s="1"/>
  <c r="M559" i="1" s="1"/>
  <c r="M555" i="1"/>
  <c r="G549" i="1"/>
  <c r="G547" i="1"/>
  <c r="M547" i="1" s="1"/>
  <c r="I534" i="1"/>
  <c r="H534" i="1"/>
  <c r="M534" i="1" s="1"/>
  <c r="I549" i="1" l="1"/>
  <c r="H549" i="1"/>
  <c r="M549" i="1" s="1"/>
  <c r="G564" i="1"/>
  <c r="G562" i="1"/>
  <c r="M562" i="1" s="1"/>
  <c r="H564" i="1" l="1"/>
  <c r="M564" i="1" s="1"/>
  <c r="I564" i="1"/>
</calcChain>
</file>

<file path=xl/sharedStrings.xml><?xml version="1.0" encoding="utf-8"?>
<sst xmlns="http://schemas.openxmlformats.org/spreadsheetml/2006/main" count="1553" uniqueCount="324">
  <si>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</si>
  <si>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</si>
  <si>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</si>
  <si>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</si>
  <si>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</si>
  <si>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</si>
  <si>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</si>
  <si>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</si>
  <si>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</si>
  <si>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</si>
  <si>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</si>
  <si>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</si>
  <si>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</si>
  <si>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</si>
  <si>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</si>
  <si>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</si>
  <si>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</si>
  <si>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</si>
  <si>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</si>
  <si>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</si>
  <si>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</si>
  <si>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</si>
  <si>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</si>
  <si>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</si>
  <si>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</si>
  <si>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</si>
  <si>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</si>
  <si>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</si>
  <si>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</si>
  <si>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</si>
  <si>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</si>
  <si>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</si>
  <si>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</si>
  <si>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</si>
  <si>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</si>
  <si>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</si>
  <si>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行動時間</t>
    <phoneticPr fontId="2" type="noConversion"/>
  </si>
  <si>
    <t>90</t>
    <phoneticPr fontId="2" type="noConversion"/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</si>
  <si>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</si>
  <si>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</si>
  <si>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</si>
  <si>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</si>
  <si>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</si>
  <si>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</si>
  <si>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</si>
  <si>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</si>
  <si>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</si>
  <si>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10</t>
    <phoneticPr fontId="2" type="noConversion"/>
  </si>
  <si>
    <t>符卡</t>
  </si>
  <si>
    <t>移動角度</t>
    <phoneticPr fontId="2" type="noConversion"/>
  </si>
  <si>
    <t>25</t>
  </si>
  <si>
    <t>HP</t>
  </si>
  <si>
    <t>無敵</t>
  </si>
  <si>
    <t>BOSS</t>
  </si>
  <si>
    <t>順序</t>
    <phoneticPr fontId="2" type="noConversion"/>
  </si>
  <si>
    <t>20</t>
  </si>
  <si>
    <t>動畫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</si>
  <si>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</si>
  <si>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</si>
  <si>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</si>
  <si>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</si>
  <si>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</si>
  <si>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</si>
  <si>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</si>
  <si>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</si>
  <si>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</si>
  <si>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</si>
  <si>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</si>
  <si>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</si>
  <si>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</si>
  <si>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</si>
  <si>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</si>
  <si>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</si>
  <si>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</si>
  <si>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</si>
  <si>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</si>
  <si>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</si>
  <si>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</si>
  <si>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</si>
  <si>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</si>
  <si>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</si>
  <si>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</si>
  <si>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</si>
  <si>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</si>
  <si>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</si>
  <si>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</si>
  <si>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</si>
  <si>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</si>
  <si>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</si>
  <si>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</si>
  <si>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</si>
  <si>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</si>
  <si>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</si>
  <si>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</si>
  <si>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</si>
  <si>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</si>
  <si>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</si>
  <si>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</si>
  <si>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</si>
  <si>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</si>
  <si>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true</t>
    <phoneticPr fontId="2" type="noConversion"/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</si>
  <si>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</si>
  <si>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</si>
  <si>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</si>
  <si>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</si>
  <si>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</si>
  <si>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0</t>
  </si>
  <si>
    <t>90</t>
  </si>
  <si>
    <t>無敵</t>
    <phoneticPr fontId="2" type="noConversion"/>
  </si>
  <si>
    <t>速度</t>
    <phoneticPr fontId="2" type="noConversion"/>
  </si>
  <si>
    <t>回收時間</t>
  </si>
  <si>
    <t>60</t>
  </si>
  <si>
    <t>移位置</t>
  </si>
  <si>
    <t>false</t>
  </si>
  <si>
    <t>玩家</t>
  </si>
  <si>
    <t>101</t>
  </si>
  <si>
    <t>0,-6</t>
  </si>
  <si>
    <t>動畫</t>
  </si>
  <si>
    <t>true</t>
  </si>
  <si>
    <t>行動ID</t>
  </si>
  <si>
    <t>102</t>
  </si>
  <si>
    <t>40</t>
  </si>
  <si>
    <t>300</t>
  </si>
  <si>
    <t>Idle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</si>
  <si>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</si>
  <si>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</si>
  <si>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</si>
  <si>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</si>
  <si>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</si>
  <si>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</si>
  <si>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</si>
  <si>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</si>
  <si>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</si>
  <si>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</si>
  <si>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</si>
  <si>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</si>
  <si>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</si>
  <si>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</si>
  <si>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</si>
  <si>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</si>
  <si>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</si>
  <si>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</si>
  <si>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</si>
  <si>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</si>
  <si>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</si>
  <si>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</si>
  <si>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</si>
  <si>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</si>
  <si>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</si>
  <si>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</si>
  <si>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</si>
  <si>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</si>
  <si>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</si>
  <si>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</si>
  <si>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</si>
  <si>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</si>
  <si>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</si>
  <si>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</si>
  <si>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</si>
  <si>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</si>
  <si>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</si>
  <si>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行動ID</t>
    <phoneticPr fontId="2" type="noConversion"/>
  </si>
  <si>
    <t>Player1</t>
    <phoneticPr fontId="2" type="noConversion"/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</si>
  <si>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</si>
  <si>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</si>
  <si>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</si>
  <si>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Invincible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</si>
  <si>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</si>
  <si>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</si>
  <si>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</si>
  <si>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111</t>
    <phoneticPr fontId="2" type="noConversion"/>
  </si>
  <si>
    <t>傷害</t>
    <phoneticPr fontId="2" type="noConversion"/>
  </si>
  <si>
    <t>啟動依ID</t>
  </si>
  <si>
    <t>102</t>
    <phoneticPr fontId="2" type="noConversion"/>
  </si>
  <si>
    <t>玩家遊戲時間</t>
  </si>
  <si>
    <t>101</t>
    <phoneticPr fontId="2" type="noConversion"/>
  </si>
  <si>
    <t>玩家子彈間隔</t>
  </si>
  <si>
    <t>103</t>
    <phoneticPr fontId="2" type="noConversion"/>
  </si>
  <si>
    <t>104</t>
    <phoneticPr fontId="2" type="noConversion"/>
  </si>
  <si>
    <t>新參照位置12</t>
    <phoneticPr fontId="2" type="noConversion"/>
  </si>
  <si>
    <t>玩家Power需求</t>
  </si>
  <si>
    <t>1</t>
    <phoneticPr fontId="2" type="noConversion"/>
  </si>
  <si>
    <t>玩家Shift</t>
  </si>
  <si>
    <t>false</t>
    <phoneticPr fontId="2" type="noConversion"/>
  </si>
  <si>
    <t>Player1Shot1</t>
    <phoneticPr fontId="2" type="noConversion"/>
  </si>
  <si>
    <t>玩家子彈延遲</t>
  </si>
  <si>
    <t>加位置</t>
  </si>
  <si>
    <t>0.5,-0.3</t>
    <phoneticPr fontId="2" type="noConversion"/>
  </si>
  <si>
    <t>120</t>
    <phoneticPr fontId="2" type="noConversion"/>
  </si>
  <si>
    <t>-0.5,-0.3</t>
    <phoneticPr fontId="2" type="noConversion"/>
  </si>
  <si>
    <t>2</t>
    <phoneticPr fontId="2" type="noConversion"/>
  </si>
  <si>
    <t>20</t>
    <phoneticPr fontId="2" type="noConversion"/>
  </si>
  <si>
    <t>-50</t>
    <phoneticPr fontId="2" type="noConversion"/>
  </si>
  <si>
    <t>-35</t>
    <phoneticPr fontId="2" type="noConversion"/>
  </si>
  <si>
    <t>35</t>
    <phoneticPr fontId="2" type="noConversion"/>
  </si>
  <si>
    <t>子彈中線無shfit</t>
    <phoneticPr fontId="2" type="noConversion"/>
  </si>
  <si>
    <t>3</t>
    <phoneticPr fontId="2" type="noConversion"/>
  </si>
  <si>
    <t>15</t>
    <phoneticPr fontId="2" type="noConversion"/>
  </si>
  <si>
    <t>17</t>
    <phoneticPr fontId="2" type="noConversion"/>
  </si>
  <si>
    <t>19</t>
    <phoneticPr fontId="2" type="noConversion"/>
  </si>
  <si>
    <t>子彈旁線無shfit</t>
    <phoneticPr fontId="2" type="noConversion"/>
  </si>
  <si>
    <t>10</t>
    <phoneticPr fontId="2" type="noConversion"/>
  </si>
  <si>
    <t>150</t>
    <phoneticPr fontId="2" type="noConversion"/>
  </si>
  <si>
    <t>true</t>
    <phoneticPr fontId="2" type="noConversion"/>
  </si>
  <si>
    <t>子彈中線shfit</t>
    <phoneticPr fontId="2" type="noConversion"/>
  </si>
  <si>
    <t>201</t>
    <phoneticPr fontId="2" type="noConversion"/>
  </si>
  <si>
    <t>Player1Shot3</t>
    <phoneticPr fontId="2" type="noConversion"/>
  </si>
  <si>
    <t>90</t>
    <phoneticPr fontId="2" type="noConversion"/>
  </si>
  <si>
    <t>202</t>
    <phoneticPr fontId="2" type="noConversion"/>
  </si>
  <si>
    <t>203</t>
    <phoneticPr fontId="2" type="noConversion"/>
  </si>
  <si>
    <t>貫穿</t>
    <phoneticPr fontId="2" type="noConversion"/>
  </si>
  <si>
    <t>true</t>
    <phoneticPr fontId="2" type="noConversion"/>
  </si>
  <si>
    <t>22</t>
    <phoneticPr fontId="2" type="noConversion"/>
  </si>
  <si>
    <t>24</t>
    <phoneticPr fontId="2" type="noConversion"/>
  </si>
  <si>
    <t>移位置</t>
    <phoneticPr fontId="2" type="noConversion"/>
  </si>
  <si>
    <t>0</t>
    <phoneticPr fontId="2" type="noConversion"/>
  </si>
  <si>
    <t>10</t>
    <phoneticPr fontId="2" type="noConversion"/>
  </si>
  <si>
    <t>0,0.5</t>
    <phoneticPr fontId="2" type="noConversion"/>
  </si>
  <si>
    <t>Self = 1,
Parent = 2,
Player = 3,
Boss = 4,
Center=5,
BossHome=6,</t>
    <phoneticPr fontId="2" type="noConversion"/>
  </si>
  <si>
    <t>角度ID旋轉</t>
  </si>
  <si>
    <t>出生動畫時間</t>
  </si>
  <si>
    <t>Player1Shot2</t>
  </si>
  <si>
    <t>1</t>
  </si>
  <si>
    <t>-0.5,-0.3</t>
  </si>
  <si>
    <t>0.5,-0.3</t>
  </si>
  <si>
    <t>-35</t>
  </si>
  <si>
    <t>35</t>
  </si>
  <si>
    <t>-10</t>
  </si>
  <si>
    <t>出生動畫開始</t>
  </si>
  <si>
    <t>-20</t>
  </si>
  <si>
    <t>-20</t>
    <phoneticPr fontId="2" type="noConversion"/>
  </si>
  <si>
    <t>復位</t>
  </si>
  <si>
    <t>下一關</t>
  </si>
  <si>
    <t>啟動依玩家死亡</t>
  </si>
  <si>
    <t>啟動位置是活動</t>
  </si>
  <si>
    <t>Power掉落</t>
  </si>
  <si>
    <t>加ID</t>
  </si>
  <si>
    <t>加角度</t>
  </si>
  <si>
    <t>出生動畫速率</t>
  </si>
  <si>
    <t>行動ID結束</t>
  </si>
  <si>
    <t>Power</t>
  </si>
  <si>
    <t>啟動依遊戲時間</t>
  </si>
  <si>
    <t>103</t>
  </si>
  <si>
    <t>104</t>
  </si>
  <si>
    <t>105</t>
  </si>
  <si>
    <t>106</t>
  </si>
  <si>
    <t>107</t>
  </si>
  <si>
    <t>108</t>
  </si>
  <si>
    <t>301</t>
    <phoneticPr fontId="2" type="noConversion"/>
  </si>
  <si>
    <t>ID</t>
    <phoneticPr fontId="2" type="noConversion"/>
  </si>
  <si>
    <t>401</t>
    <phoneticPr fontId="2" type="noConversion"/>
  </si>
  <si>
    <t>501</t>
    <phoneticPr fontId="2" type="noConversion"/>
  </si>
  <si>
    <t>601</t>
    <phoneticPr fontId="2" type="noConversion"/>
  </si>
  <si>
    <t>701</t>
    <phoneticPr fontId="2" type="noConversion"/>
  </si>
  <si>
    <t>是界內</t>
  </si>
  <si>
    <t>801</t>
    <phoneticPr fontId="2" type="noConversion"/>
  </si>
  <si>
    <t>901</t>
    <phoneticPr fontId="2" type="noConversion"/>
  </si>
  <si>
    <t>202</t>
  </si>
  <si>
    <t>203</t>
  </si>
  <si>
    <t>204</t>
  </si>
  <si>
    <t>205</t>
  </si>
  <si>
    <t>206</t>
  </si>
  <si>
    <t>207</t>
  </si>
  <si>
    <t>208</t>
  </si>
  <si>
    <t>302</t>
  </si>
  <si>
    <t>303</t>
  </si>
  <si>
    <t>402</t>
  </si>
  <si>
    <t>403</t>
  </si>
  <si>
    <t>404</t>
  </si>
  <si>
    <t>502</t>
  </si>
  <si>
    <t>503</t>
  </si>
  <si>
    <t>504</t>
  </si>
  <si>
    <t>505</t>
  </si>
  <si>
    <t>506</t>
  </si>
  <si>
    <t>507</t>
  </si>
  <si>
    <t>602</t>
  </si>
  <si>
    <t>603</t>
  </si>
  <si>
    <t>604</t>
  </si>
  <si>
    <t>702</t>
  </si>
  <si>
    <t>703</t>
  </si>
  <si>
    <t>704</t>
  </si>
  <si>
    <t>705</t>
  </si>
  <si>
    <t>706</t>
  </si>
  <si>
    <t>707</t>
  </si>
  <si>
    <t>708</t>
  </si>
  <si>
    <t>802</t>
  </si>
  <si>
    <t>803</t>
  </si>
  <si>
    <t>804</t>
  </si>
  <si>
    <t>805</t>
  </si>
  <si>
    <t>806</t>
  </si>
  <si>
    <t>902</t>
  </si>
  <si>
    <t>903</t>
  </si>
  <si>
    <t>904</t>
  </si>
  <si>
    <t>905</t>
  </si>
  <si>
    <t>位置參數角距距離</t>
  </si>
  <si>
    <t>位置參數角距角度</t>
  </si>
  <si>
    <t>新參照位置</t>
  </si>
  <si>
    <t>新參照位置12</t>
  </si>
  <si>
    <t>新參照角度</t>
  </si>
  <si>
    <t>符卡時間</t>
    <phoneticPr fontId="2" type="noConversion"/>
  </si>
  <si>
    <t>304</t>
  </si>
  <si>
    <t/>
  </si>
  <si>
    <t>0,-0.3</t>
  </si>
  <si>
    <t>120</t>
  </si>
  <si>
    <t>-50</t>
  </si>
  <si>
    <t>-10</t>
    <phoneticPr fontId="2" type="noConversion"/>
  </si>
  <si>
    <t>150</t>
  </si>
  <si>
    <t>BOSSLEAVE</t>
    <phoneticPr fontId="2" type="noConversion"/>
  </si>
  <si>
    <t>子旋轉角度</t>
    <phoneticPr fontId="2" type="noConversion"/>
  </si>
  <si>
    <t>加旋轉角度</t>
    <phoneticPr fontId="2" type="noConversion"/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</si>
  <si>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</si>
  <si>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508</t>
  </si>
  <si>
    <t>509</t>
  </si>
  <si>
    <t>15</t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</si>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</sst>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微軟正黑體"/>
      <family val="2"/>
      <charset val="136"/>
    </font>
    <font>
      <sz val="11"/>
      <name val="Microsoft JhengHei UI"/>
      <family val="3"/>
      <charset val="136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49" fontId="0" fillId="27" borderId="0" xfId="0" applyNumberFormat="1" applyFill="1" applyAlignment="1">
      <alignment horizontal="left" vertical="center"/>
    </xf>
    <xf numFmtId="49" fontId="0" fillId="27" borderId="0" xfId="0" applyNumberFormat="1" applyFill="1" applyAlignment="1">
      <alignment horizontal="center" vertical="center"/>
    </xf>
    <xf numFmtId="49" fontId="25" fillId="27" borderId="0" xfId="0" applyNumberFormat="1" applyFont="1" applyFill="1" applyAlignment="1">
      <alignment horizontal="center" vertical="center"/>
    </xf>
    <xf numFmtId="49" fontId="25" fillId="27" borderId="0" xfId="0" applyNumberFormat="1" applyFont="1" applyFill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" fontId="0" fillId="27" borderId="0" xfId="0" applyNumberFormat="1" applyFill="1" applyAlignment="1">
      <alignment horizontal="center" vertical="center"/>
    </xf>
    <xf numFmtId="1" fontId="0" fillId="28" borderId="0" xfId="0" applyNumberFormat="1" applyFill="1" applyAlignment="1">
      <alignment horizontal="center" vertical="center"/>
    </xf>
    <xf numFmtId="49" fontId="0" fillId="28" borderId="0" xfId="0" applyNumberFormat="1" applyFill="1" applyAlignment="1">
      <alignment horizontal="center" vertical="center"/>
    </xf>
    <xf numFmtId="49" fontId="25" fillId="28" borderId="0" xfId="0" applyNumberFormat="1" applyFont="1" applyFill="1" applyAlignment="1">
      <alignment horizontal="center" vertical="center"/>
    </xf>
    <xf numFmtId="49" fontId="25" fillId="28" borderId="0" xfId="0" applyNumberFormat="1" applyFont="1" applyFill="1" applyAlignment="1">
      <alignment horizontal="left" vertical="center"/>
    </xf>
    <xf numFmtId="49" fontId="0" fillId="28" borderId="0" xfId="0" applyNumberForma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5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8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Normal/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568"/>
  <sheetViews>
    <sheetView zoomScale="115" zoomScaleNormal="115" workbookViewId="0">
      <pane ySplit="1" topLeftCell="A226" activePane="bottomLeft" state="frozen"/>
      <selection pane="bottomLeft" activeCell="I229" sqref="I229"/>
    </sheetView>
  </sheetViews>
  <sheetFormatPr defaultRowHeight="19.5"/>
  <cols>
    <col min="1" max="1" width="9" style="26"/>
    <col min="2" max="2" width="17.125" style="26" customWidth="1"/>
    <col min="3" max="3" width="11.375" style="26" customWidth="1"/>
    <col min="4" max="4" width="6.125" style="26" customWidth="1"/>
    <col min="5" max="5" width="9" style="26"/>
    <col min="6" max="6" width="16.125" style="9" bestFit="1" customWidth="1"/>
    <col min="7" max="7" width="7.375" style="26" customWidth="1"/>
    <col min="8" max="8" width="5" style="26" customWidth="1"/>
    <col min="9" max="9" width="7.75" style="26" customWidth="1"/>
    <col min="10" max="10" width="5.125" style="26" customWidth="1"/>
    <col min="11" max="11" width="17.5" style="9" bestFit="1" customWidth="1"/>
    <col min="12" max="12" width="20.25" style="9" bestFit="1" customWidth="1"/>
    <col min="13" max="13" width="24.375" style="26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7"/>
      <c r="B1" s="27"/>
      <c r="C1" s="27"/>
      <c r="D1" s="27"/>
      <c r="E1" s="19" t="s">
        <v>54</v>
      </c>
      <c r="F1" s="19" t="s">
        <v>27</v>
      </c>
      <c r="G1" s="27"/>
      <c r="H1" s="27"/>
      <c r="I1" s="27"/>
      <c r="J1" s="27"/>
      <c r="K1" s="17" t="s">
        <v>167</v>
      </c>
      <c r="L1" s="17" t="s">
        <v>168</v>
      </c>
      <c r="M1" s="26" t="s">
        <v>102</v>
      </c>
      <c r="N1" s="6" t="s">
        <v>103</v>
      </c>
      <c r="O1" s="6" t="s">
        <v>58</v>
      </c>
      <c r="P1" s="6" t="s">
        <v>59</v>
      </c>
      <c r="Q1" s="6" t="s">
        <v>60</v>
      </c>
      <c r="R1" s="6" t="s">
        <v>61</v>
      </c>
      <c r="S1" s="6" t="s">
        <v>62</v>
      </c>
      <c r="T1" s="6" t="s">
        <v>63</v>
      </c>
      <c r="U1" s="6" t="s">
        <v>64</v>
      </c>
      <c r="V1" s="6" t="s">
        <v>65</v>
      </c>
      <c r="W1" s="6" t="s">
        <v>66</v>
      </c>
      <c r="X1" s="6" t="s">
        <v>67</v>
      </c>
      <c r="Y1" s="6" t="s">
        <v>68</v>
      </c>
      <c r="Z1" s="6" t="s">
        <v>69</v>
      </c>
      <c r="AA1" s="6" t="s">
        <v>70</v>
      </c>
      <c r="AB1" s="6" t="s">
        <v>71</v>
      </c>
      <c r="AC1" s="6" t="s">
        <v>72</v>
      </c>
      <c r="AD1" s="6" t="s">
        <v>73</v>
      </c>
      <c r="AE1" s="6" t="s">
        <v>74</v>
      </c>
      <c r="AF1" s="6" t="s">
        <v>75</v>
      </c>
      <c r="AG1" s="6" t="s">
        <v>76</v>
      </c>
      <c r="AH1" s="6" t="s">
        <v>77</v>
      </c>
      <c r="AI1" s="6" t="s">
        <v>78</v>
      </c>
      <c r="AJ1" s="6" t="s">
        <v>79</v>
      </c>
      <c r="AK1" s="6" t="s">
        <v>80</v>
      </c>
      <c r="AL1" s="6" t="s">
        <v>81</v>
      </c>
      <c r="AM1" s="6" t="s">
        <v>82</v>
      </c>
      <c r="AN1" s="6" t="s">
        <v>83</v>
      </c>
      <c r="AO1" s="6" t="s">
        <v>84</v>
      </c>
      <c r="AP1" s="6" t="s">
        <v>85</v>
      </c>
      <c r="AQ1" s="6" t="s">
        <v>86</v>
      </c>
      <c r="AR1" s="6" t="s">
        <v>87</v>
      </c>
      <c r="AS1" s="6" t="s">
        <v>88</v>
      </c>
      <c r="AT1" s="6" t="s">
        <v>89</v>
      </c>
      <c r="AU1" s="6" t="s">
        <v>90</v>
      </c>
      <c r="AV1" s="6" t="s">
        <v>91</v>
      </c>
      <c r="AW1" s="6" t="s">
        <v>92</v>
      </c>
      <c r="AX1" s="6" t="s">
        <v>93</v>
      </c>
      <c r="AY1" s="6" t="s">
        <v>94</v>
      </c>
      <c r="AZ1" s="6" t="s">
        <v>95</v>
      </c>
      <c r="BA1" s="6" t="s">
        <v>96</v>
      </c>
      <c r="BB1" s="6" t="s">
        <v>97</v>
      </c>
      <c r="BC1" s="6" t="s">
        <v>98</v>
      </c>
      <c r="BD1" s="6" t="s">
        <v>99</v>
      </c>
    </row>
    <row r="2" spans="1:56">
      <c r="C2" s="26" t="s">
        <v>163</v>
      </c>
    </row>
    <row r="3" spans="1:56">
      <c r="C3" s="26" t="s">
        <v>164</v>
      </c>
    </row>
    <row r="4" spans="1:56">
      <c r="C4" s="26" t="s">
        <v>165</v>
      </c>
    </row>
    <row r="7" spans="1:56">
      <c r="D7" s="26" t="str">
        <f>IF(OR(F7="ID",F7="符卡",F7="對話",F7="標題"),M7,"")</f>
        <v/>
      </c>
      <c r="E7" s="26">
        <f t="shared" ref="E7:E137" si="0">ROW(E7)</f>
        <v>7</v>
      </c>
      <c r="F7" s="9" t="s">
        <v>114</v>
      </c>
      <c r="M7" s="26" t="s">
        <v>115</v>
      </c>
    </row>
    <row r="8" spans="1:56">
      <c r="D8" s="26" t="str">
        <f>IF(OR(F8="ID",F8="符卡",F8="對話",F8="標題"),M8,"")</f>
        <v/>
      </c>
      <c r="E8" s="26">
        <f t="shared" si="0"/>
        <v>8</v>
      </c>
      <c r="F8" s="9" t="s">
        <v>174</v>
      </c>
      <c r="M8" s="26" t="s">
        <v>111</v>
      </c>
    </row>
    <row r="9" spans="1:56">
      <c r="E9" s="26">
        <f t="shared" si="0"/>
        <v>9</v>
      </c>
      <c r="F9" s="9" t="s">
        <v>29</v>
      </c>
      <c r="M9" s="26" t="s">
        <v>162</v>
      </c>
    </row>
    <row r="10" spans="1:56">
      <c r="D10" s="26" t="str">
        <f t="shared" ref="D10:D20" si="1">IF(OR(F10="ID",F10="符卡",F10="對話",F10="標題"),M10,"")</f>
        <v/>
      </c>
      <c r="E10" s="26">
        <f t="shared" si="0"/>
        <v>10</v>
      </c>
      <c r="F10" s="9" t="s">
        <v>214</v>
      </c>
      <c r="K10" s="9" t="s">
        <v>158</v>
      </c>
      <c r="M10" s="26" t="s">
        <v>116</v>
      </c>
    </row>
    <row r="11" spans="1:56">
      <c r="D11" s="26" t="str">
        <f t="shared" si="1"/>
        <v/>
      </c>
      <c r="E11" s="26">
        <f t="shared" si="0"/>
        <v>11</v>
      </c>
      <c r="F11" s="9" t="s">
        <v>108</v>
      </c>
      <c r="M11" s="26" t="s">
        <v>118</v>
      </c>
    </row>
    <row r="12" spans="1:56">
      <c r="D12" s="26" t="str">
        <f t="shared" si="1"/>
        <v/>
      </c>
      <c r="E12" s="26">
        <f>ROW(E12)</f>
        <v>12</v>
      </c>
      <c r="F12" s="9" t="s">
        <v>56</v>
      </c>
      <c r="M12" s="26" t="s">
        <v>166</v>
      </c>
    </row>
    <row r="13" spans="1:56">
      <c r="D13" s="26" t="str">
        <f t="shared" si="1"/>
        <v/>
      </c>
      <c r="E13" s="26">
        <f t="shared" si="0"/>
        <v>13</v>
      </c>
      <c r="F13" s="9" t="s">
        <v>36</v>
      </c>
      <c r="M13" s="26" t="s">
        <v>216</v>
      </c>
    </row>
    <row r="14" spans="1:56">
      <c r="D14" s="26" t="str">
        <f t="shared" si="1"/>
        <v/>
      </c>
      <c r="E14" s="26">
        <f t="shared" si="0"/>
        <v>14</v>
      </c>
    </row>
    <row r="15" spans="1:56">
      <c r="D15" s="26" t="str">
        <f t="shared" si="1"/>
        <v/>
      </c>
      <c r="E15" s="26">
        <f t="shared" si="0"/>
        <v>15</v>
      </c>
      <c r="F15" s="9" t="s">
        <v>161</v>
      </c>
      <c r="M15" s="26" t="s">
        <v>120</v>
      </c>
    </row>
    <row r="16" spans="1:56">
      <c r="D16" s="26" t="str">
        <f t="shared" si="1"/>
        <v/>
      </c>
      <c r="E16" s="26">
        <f t="shared" si="0"/>
        <v>16</v>
      </c>
      <c r="F16" s="9" t="s">
        <v>172</v>
      </c>
      <c r="M16" s="26" t="s">
        <v>175</v>
      </c>
    </row>
    <row r="17" spans="4:13">
      <c r="D17" s="26" t="str">
        <f t="shared" si="1"/>
        <v/>
      </c>
      <c r="E17" s="26">
        <f t="shared" si="0"/>
        <v>17</v>
      </c>
      <c r="F17" s="9" t="s">
        <v>149</v>
      </c>
      <c r="M17" s="26" t="s">
        <v>215</v>
      </c>
    </row>
    <row r="18" spans="4:13">
      <c r="D18" s="26" t="str">
        <f t="shared" si="1"/>
        <v/>
      </c>
      <c r="E18" s="26">
        <f t="shared" si="0"/>
        <v>18</v>
      </c>
      <c r="F18" s="9" t="s">
        <v>36</v>
      </c>
      <c r="M18" s="26" t="s">
        <v>121</v>
      </c>
    </row>
    <row r="19" spans="4:13">
      <c r="D19" s="26" t="str">
        <f t="shared" si="1"/>
        <v/>
      </c>
      <c r="E19" s="26">
        <f t="shared" si="0"/>
        <v>19</v>
      </c>
      <c r="F19" s="9" t="s">
        <v>109</v>
      </c>
      <c r="M19" s="26" t="s">
        <v>40</v>
      </c>
    </row>
    <row r="20" spans="4:13">
      <c r="D20" s="26" t="str">
        <f t="shared" si="1"/>
        <v/>
      </c>
      <c r="E20" s="26">
        <f t="shared" si="0"/>
        <v>20</v>
      </c>
      <c r="F20" s="9" t="s">
        <v>49</v>
      </c>
      <c r="L20" s="9" t="s">
        <v>156</v>
      </c>
      <c r="M20" s="26" t="s">
        <v>107</v>
      </c>
    </row>
    <row r="21" spans="4:13">
      <c r="E21" s="26">
        <f t="shared" si="0"/>
        <v>21</v>
      </c>
    </row>
    <row r="22" spans="4:13">
      <c r="D22" s="26" t="str">
        <f t="shared" ref="D22:D36" si="2">IF(OR(F22="ID",F22="符卡",F22="對話",F22="標題"),M22,"")</f>
        <v/>
      </c>
      <c r="E22" s="26">
        <f t="shared" si="0"/>
        <v>22</v>
      </c>
    </row>
    <row r="23" spans="4:13">
      <c r="D23" s="26" t="str">
        <f t="shared" si="2"/>
        <v/>
      </c>
      <c r="E23" s="26">
        <f t="shared" si="0"/>
        <v>23</v>
      </c>
      <c r="F23" s="9" t="s">
        <v>161</v>
      </c>
      <c r="M23" s="26" t="s">
        <v>177</v>
      </c>
    </row>
    <row r="24" spans="4:13">
      <c r="D24" s="26" t="str">
        <f t="shared" si="2"/>
        <v/>
      </c>
      <c r="E24" s="26">
        <f t="shared" si="0"/>
        <v>24</v>
      </c>
      <c r="F24" s="9" t="s">
        <v>172</v>
      </c>
      <c r="M24" s="26" t="s">
        <v>173</v>
      </c>
    </row>
    <row r="25" spans="4:13">
      <c r="D25" s="26" t="str">
        <f t="shared" si="2"/>
        <v/>
      </c>
      <c r="E25" s="26">
        <f t="shared" si="0"/>
        <v>25</v>
      </c>
      <c r="F25" s="9" t="s">
        <v>149</v>
      </c>
      <c r="M25" s="26" t="s">
        <v>215</v>
      </c>
    </row>
    <row r="26" spans="4:13">
      <c r="D26" s="26" t="str">
        <f t="shared" si="2"/>
        <v/>
      </c>
      <c r="E26" s="26">
        <f t="shared" si="0"/>
        <v>26</v>
      </c>
      <c r="F26" s="9" t="s">
        <v>109</v>
      </c>
      <c r="M26" s="26" t="s">
        <v>106</v>
      </c>
    </row>
    <row r="27" spans="4:13">
      <c r="D27" s="26" t="str">
        <f t="shared" si="2"/>
        <v/>
      </c>
      <c r="E27" s="26">
        <f t="shared" si="0"/>
        <v>27</v>
      </c>
      <c r="F27" s="9" t="s">
        <v>36</v>
      </c>
      <c r="M27" s="26" t="s">
        <v>122</v>
      </c>
    </row>
    <row r="28" spans="4:13">
      <c r="D28" s="26" t="str">
        <f t="shared" si="2"/>
        <v/>
      </c>
      <c r="E28" s="26">
        <f t="shared" si="0"/>
        <v>28</v>
      </c>
    </row>
    <row r="29" spans="4:13">
      <c r="D29" s="26" t="str">
        <f t="shared" si="2"/>
        <v/>
      </c>
      <c r="E29" s="26">
        <f t="shared" si="0"/>
        <v>29</v>
      </c>
      <c r="F29" s="9" t="s">
        <v>161</v>
      </c>
      <c r="M29" s="26" t="s">
        <v>178</v>
      </c>
    </row>
    <row r="30" spans="4:13">
      <c r="D30" s="26" t="str">
        <f t="shared" si="2"/>
        <v/>
      </c>
      <c r="E30" s="26">
        <f t="shared" si="0"/>
        <v>30</v>
      </c>
      <c r="F30" s="9" t="s">
        <v>172</v>
      </c>
      <c r="M30" s="26" t="s">
        <v>177</v>
      </c>
    </row>
    <row r="31" spans="4:13">
      <c r="D31" s="26" t="str">
        <f t="shared" si="2"/>
        <v/>
      </c>
      <c r="E31" s="26">
        <f t="shared" si="0"/>
        <v>31</v>
      </c>
      <c r="F31" s="9" t="s">
        <v>149</v>
      </c>
      <c r="M31" s="26" t="s">
        <v>215</v>
      </c>
    </row>
    <row r="32" spans="4:13">
      <c r="D32" s="26" t="str">
        <f t="shared" si="2"/>
        <v/>
      </c>
      <c r="E32" s="26">
        <f t="shared" si="0"/>
        <v>32</v>
      </c>
      <c r="F32" s="9" t="s">
        <v>56</v>
      </c>
      <c r="M32" s="26" t="s">
        <v>123</v>
      </c>
    </row>
    <row r="33" spans="1:60">
      <c r="D33" s="26" t="str">
        <f t="shared" si="2"/>
        <v/>
      </c>
      <c r="E33" s="26">
        <f t="shared" si="0"/>
        <v>33</v>
      </c>
      <c r="F33" s="9" t="s">
        <v>108</v>
      </c>
      <c r="M33" s="26" t="s">
        <v>113</v>
      </c>
    </row>
    <row r="34" spans="1:60">
      <c r="D34" s="26" t="str">
        <f t="shared" si="2"/>
        <v/>
      </c>
      <c r="E34" s="26">
        <f t="shared" si="0"/>
        <v>34</v>
      </c>
    </row>
    <row r="35" spans="1:60">
      <c r="D35" s="26" t="str">
        <f t="shared" si="2"/>
        <v/>
      </c>
      <c r="E35" s="26">
        <f t="shared" si="0"/>
        <v>35</v>
      </c>
    </row>
    <row r="36" spans="1:60">
      <c r="D36" s="26" t="str">
        <f t="shared" si="2"/>
        <v/>
      </c>
      <c r="E36" s="26">
        <f t="shared" si="0"/>
        <v>36</v>
      </c>
    </row>
    <row r="39" spans="1:60" s="23" customFormat="1">
      <c r="A39" s="26"/>
      <c r="B39" s="26"/>
      <c r="C39" s="26"/>
      <c r="D39" s="28" t="str">
        <f>IF(OR(F39="ID",F39="符卡",F39="對話",F39="標題"),M39,"")</f>
        <v/>
      </c>
      <c r="E39" s="26"/>
      <c r="G39" s="28" t="s">
        <v>204</v>
      </c>
      <c r="H39" s="28"/>
      <c r="I39" s="28"/>
      <c r="J39" s="28"/>
      <c r="M39" s="26"/>
      <c r="S39" s="24"/>
      <c r="V39" s="24"/>
      <c r="W39" s="24"/>
      <c r="X39" s="24"/>
      <c r="Y39" s="25"/>
      <c r="Z39" s="25"/>
      <c r="AA39" s="25"/>
      <c r="AB39" s="25"/>
      <c r="AC39" s="25"/>
      <c r="AD39" s="25"/>
      <c r="AE39" s="25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</row>
    <row r="42" spans="1:60">
      <c r="D42" s="26" t="str">
        <f>IF(OR(F42="ID",F42="符卡",F42="對話",F42="標題"),M42,"")</f>
        <v/>
      </c>
      <c r="E42" s="26">
        <f>ROW(E42)</f>
        <v>42</v>
      </c>
      <c r="F42" s="9" t="s">
        <v>124</v>
      </c>
      <c r="M42" s="26" t="s">
        <v>205</v>
      </c>
    </row>
    <row r="43" spans="1:60">
      <c r="E43" s="26">
        <f>ROW(E43)</f>
        <v>43</v>
      </c>
      <c r="F43" s="9" t="s">
        <v>180</v>
      </c>
      <c r="M43" s="26" t="s">
        <v>21</v>
      </c>
    </row>
    <row r="44" spans="1:60">
      <c r="E44" s="26">
        <f>ROW(E44)</f>
        <v>44</v>
      </c>
      <c r="F44" s="9" t="s">
        <v>182</v>
      </c>
      <c r="M44" s="26" t="s">
        <v>100</v>
      </c>
    </row>
    <row r="45" spans="1:60">
      <c r="E45" s="26">
        <f>ROW(E45)</f>
        <v>45</v>
      </c>
      <c r="F45" s="9" t="s">
        <v>176</v>
      </c>
      <c r="M45" s="26" t="s">
        <v>47</v>
      </c>
    </row>
    <row r="46" spans="1:60">
      <c r="D46" s="26" t="str">
        <f t="shared" ref="D46:D55" si="3">IF(OR(F46="ID",F46="符卡",F46="對話",F46="標題"),M46,"")</f>
        <v/>
      </c>
      <c r="E46" s="26">
        <f t="shared" ref="E46:E50" si="4">ROW(E46)</f>
        <v>46</v>
      </c>
      <c r="F46" s="9" t="s">
        <v>104</v>
      </c>
      <c r="M46" s="26" t="s">
        <v>206</v>
      </c>
    </row>
    <row r="47" spans="1:60">
      <c r="D47" s="26" t="str">
        <f t="shared" si="3"/>
        <v/>
      </c>
      <c r="E47" s="26">
        <f t="shared" si="4"/>
        <v>47</v>
      </c>
      <c r="F47" s="9" t="s">
        <v>228</v>
      </c>
      <c r="M47" s="26">
        <v>0.5</v>
      </c>
    </row>
    <row r="48" spans="1:60">
      <c r="D48" s="26" t="str">
        <f t="shared" si="3"/>
        <v/>
      </c>
      <c r="E48" s="26">
        <f t="shared" si="4"/>
        <v>48</v>
      </c>
      <c r="F48" s="9" t="s">
        <v>220</v>
      </c>
      <c r="M48" s="26">
        <v>5</v>
      </c>
    </row>
    <row r="49" spans="4:13">
      <c r="D49" s="26" t="str">
        <f t="shared" si="3"/>
        <v/>
      </c>
      <c r="E49" s="26">
        <f t="shared" si="4"/>
        <v>49</v>
      </c>
      <c r="F49" s="9" t="s">
        <v>112</v>
      </c>
      <c r="K49" s="9" t="s">
        <v>159</v>
      </c>
      <c r="M49" s="26" t="s">
        <v>25</v>
      </c>
    </row>
    <row r="50" spans="4:13">
      <c r="D50" s="26" t="str">
        <f t="shared" si="3"/>
        <v/>
      </c>
      <c r="E50" s="26">
        <f t="shared" si="4"/>
        <v>50</v>
      </c>
      <c r="F50" s="9" t="s">
        <v>186</v>
      </c>
      <c r="K50" s="9" t="s">
        <v>158</v>
      </c>
      <c r="M50" s="26" t="s">
        <v>217</v>
      </c>
    </row>
    <row r="51" spans="4:13">
      <c r="D51" s="26" t="str">
        <f t="shared" si="3"/>
        <v/>
      </c>
      <c r="E51" s="26">
        <f t="shared" si="0"/>
        <v>51</v>
      </c>
      <c r="F51" s="9" t="s">
        <v>109</v>
      </c>
      <c r="M51" s="26" t="s">
        <v>24</v>
      </c>
    </row>
    <row r="52" spans="4:13">
      <c r="D52" s="26" t="str">
        <f t="shared" si="3"/>
        <v/>
      </c>
      <c r="E52" s="26">
        <f t="shared" si="0"/>
        <v>52</v>
      </c>
      <c r="F52" s="9" t="s">
        <v>31</v>
      </c>
      <c r="L52" s="9" t="s">
        <v>156</v>
      </c>
      <c r="M52" s="26" t="s">
        <v>37</v>
      </c>
    </row>
    <row r="53" spans="4:13">
      <c r="D53" s="26" t="str">
        <f t="shared" si="3"/>
        <v/>
      </c>
      <c r="E53" s="26">
        <f t="shared" si="0"/>
        <v>53</v>
      </c>
      <c r="F53" s="9" t="s">
        <v>135</v>
      </c>
      <c r="L53" s="9" t="s">
        <v>156</v>
      </c>
      <c r="M53" s="26" t="s">
        <v>207</v>
      </c>
    </row>
    <row r="54" spans="4:13">
      <c r="D54" s="26" t="str">
        <f t="shared" si="3"/>
        <v/>
      </c>
      <c r="F54" s="9" t="s">
        <v>210</v>
      </c>
      <c r="M54" s="26" t="s">
        <v>211</v>
      </c>
    </row>
    <row r="55" spans="4:13">
      <c r="D55" s="26" t="str">
        <f t="shared" si="3"/>
        <v/>
      </c>
      <c r="E55" s="26">
        <f t="shared" si="0"/>
        <v>55</v>
      </c>
      <c r="F55" s="9" t="s">
        <v>171</v>
      </c>
      <c r="M55" s="26" t="s">
        <v>191</v>
      </c>
    </row>
    <row r="57" spans="4:13">
      <c r="D57" s="26" t="str">
        <f>IF(OR(F57="ID",F57="符卡",F57="對話",F57="標題"),M57,"")</f>
        <v/>
      </c>
      <c r="E57" s="26">
        <f>ROW(E57)</f>
        <v>57</v>
      </c>
      <c r="F57" s="9" t="s">
        <v>124</v>
      </c>
      <c r="M57" s="26" t="s">
        <v>208</v>
      </c>
    </row>
    <row r="58" spans="4:13">
      <c r="E58" s="26">
        <f>ROW(E58)</f>
        <v>58</v>
      </c>
      <c r="F58" s="9" t="s">
        <v>180</v>
      </c>
      <c r="M58" s="26" t="s">
        <v>25</v>
      </c>
    </row>
    <row r="59" spans="4:13">
      <c r="E59" s="26">
        <f>ROW(E59)</f>
        <v>59</v>
      </c>
      <c r="F59" s="9" t="s">
        <v>182</v>
      </c>
      <c r="M59" s="26" t="s">
        <v>100</v>
      </c>
    </row>
    <row r="60" spans="4:13">
      <c r="E60" s="26">
        <f>ROW(E60)</f>
        <v>60</v>
      </c>
      <c r="F60" s="9" t="s">
        <v>176</v>
      </c>
      <c r="M60" s="26" t="s">
        <v>47</v>
      </c>
    </row>
    <row r="61" spans="4:13">
      <c r="D61" s="26" t="str">
        <f t="shared" ref="D61:D70" si="5">IF(OR(F61="ID",F61="符卡",F61="對話",F61="標題"),M61,"")</f>
        <v/>
      </c>
      <c r="E61" s="26">
        <f t="shared" ref="E61:E65" si="6">ROW(E61)</f>
        <v>61</v>
      </c>
      <c r="F61" s="9" t="s">
        <v>104</v>
      </c>
      <c r="M61" s="26" t="s">
        <v>206</v>
      </c>
    </row>
    <row r="62" spans="4:13">
      <c r="D62" s="26" t="str">
        <f t="shared" si="5"/>
        <v/>
      </c>
      <c r="E62" s="26">
        <f t="shared" si="6"/>
        <v>62</v>
      </c>
      <c r="F62" s="9" t="s">
        <v>228</v>
      </c>
      <c r="M62" s="26">
        <v>0.5</v>
      </c>
    </row>
    <row r="63" spans="4:13">
      <c r="D63" s="26" t="str">
        <f t="shared" si="5"/>
        <v/>
      </c>
      <c r="E63" s="26">
        <f t="shared" si="6"/>
        <v>63</v>
      </c>
      <c r="F63" s="9" t="s">
        <v>220</v>
      </c>
      <c r="M63" s="26">
        <v>5</v>
      </c>
    </row>
    <row r="64" spans="4:13">
      <c r="D64" s="26" t="str">
        <f t="shared" si="5"/>
        <v/>
      </c>
      <c r="E64" s="26">
        <f t="shared" si="6"/>
        <v>64</v>
      </c>
      <c r="F64" s="9" t="s">
        <v>112</v>
      </c>
      <c r="K64" s="9" t="s">
        <v>159</v>
      </c>
      <c r="M64" s="26" t="s">
        <v>25</v>
      </c>
    </row>
    <row r="65" spans="4:13">
      <c r="D65" s="26" t="str">
        <f t="shared" si="5"/>
        <v/>
      </c>
      <c r="E65" s="26">
        <f t="shared" si="6"/>
        <v>65</v>
      </c>
      <c r="F65" s="9" t="s">
        <v>186</v>
      </c>
      <c r="K65" s="9" t="s">
        <v>158</v>
      </c>
      <c r="M65" s="26" t="s">
        <v>217</v>
      </c>
    </row>
    <row r="66" spans="4:13">
      <c r="D66" s="26" t="str">
        <f t="shared" si="5"/>
        <v/>
      </c>
      <c r="E66" s="26">
        <f t="shared" si="0"/>
        <v>66</v>
      </c>
      <c r="F66" s="9" t="s">
        <v>109</v>
      </c>
      <c r="M66" s="26" t="s">
        <v>24</v>
      </c>
    </row>
    <row r="67" spans="4:13">
      <c r="D67" s="26" t="str">
        <f t="shared" si="5"/>
        <v/>
      </c>
      <c r="E67" s="26">
        <f t="shared" si="0"/>
        <v>67</v>
      </c>
      <c r="F67" s="9" t="s">
        <v>31</v>
      </c>
      <c r="L67" s="9" t="s">
        <v>156</v>
      </c>
      <c r="M67" s="26" t="s">
        <v>37</v>
      </c>
    </row>
    <row r="68" spans="4:13">
      <c r="D68" s="26" t="str">
        <f t="shared" si="5"/>
        <v/>
      </c>
      <c r="E68" s="26">
        <f t="shared" si="0"/>
        <v>68</v>
      </c>
      <c r="F68" s="9" t="s">
        <v>135</v>
      </c>
      <c r="L68" s="9" t="s">
        <v>156</v>
      </c>
      <c r="M68" s="26" t="s">
        <v>207</v>
      </c>
    </row>
    <row r="69" spans="4:13">
      <c r="D69" s="26" t="str">
        <f t="shared" si="5"/>
        <v/>
      </c>
      <c r="F69" s="9" t="s">
        <v>210</v>
      </c>
      <c r="M69" s="26" t="s">
        <v>211</v>
      </c>
    </row>
    <row r="70" spans="4:13">
      <c r="D70" s="26" t="str">
        <f t="shared" si="5"/>
        <v/>
      </c>
      <c r="E70" s="26">
        <f>ROW(E70)</f>
        <v>70</v>
      </c>
      <c r="F70" s="9" t="s">
        <v>171</v>
      </c>
      <c r="M70" s="26" t="s">
        <v>212</v>
      </c>
    </row>
    <row r="72" spans="4:13">
      <c r="D72" s="26" t="str">
        <f>IF(OR(F72="ID",F72="符卡",F72="對話",F72="標題"),M72,"")</f>
        <v/>
      </c>
      <c r="E72" s="26">
        <f>ROW(E72)</f>
        <v>72</v>
      </c>
      <c r="F72" s="9" t="s">
        <v>124</v>
      </c>
      <c r="M72" s="26" t="s">
        <v>209</v>
      </c>
    </row>
    <row r="73" spans="4:13">
      <c r="E73" s="26">
        <f>ROW(E73)</f>
        <v>73</v>
      </c>
      <c r="F73" s="9" t="s">
        <v>180</v>
      </c>
      <c r="M73" s="26" t="s">
        <v>26</v>
      </c>
    </row>
    <row r="74" spans="4:13">
      <c r="E74" s="26">
        <f>ROW(E74)</f>
        <v>74</v>
      </c>
      <c r="F74" s="9" t="s">
        <v>182</v>
      </c>
      <c r="M74" s="26" t="s">
        <v>100</v>
      </c>
    </row>
    <row r="75" spans="4:13">
      <c r="E75" s="26">
        <f>ROW(E75)</f>
        <v>75</v>
      </c>
      <c r="F75" s="9" t="s">
        <v>176</v>
      </c>
      <c r="M75" s="26" t="s">
        <v>47</v>
      </c>
    </row>
    <row r="76" spans="4:13">
      <c r="D76" s="26" t="str">
        <f t="shared" ref="D76:D85" si="7">IF(OR(F76="ID",F76="符卡",F76="對話",F76="標題"),M76,"")</f>
        <v/>
      </c>
      <c r="E76" s="26">
        <f t="shared" ref="E76:E80" si="8">ROW(E76)</f>
        <v>76</v>
      </c>
      <c r="F76" s="9" t="s">
        <v>104</v>
      </c>
      <c r="M76" s="26" t="s">
        <v>206</v>
      </c>
    </row>
    <row r="77" spans="4:13">
      <c r="D77" s="26" t="str">
        <f t="shared" si="7"/>
        <v/>
      </c>
      <c r="E77" s="26">
        <f t="shared" si="8"/>
        <v>77</v>
      </c>
      <c r="F77" s="9" t="s">
        <v>228</v>
      </c>
      <c r="M77" s="26">
        <v>0.5</v>
      </c>
    </row>
    <row r="78" spans="4:13">
      <c r="D78" s="26" t="str">
        <f t="shared" si="7"/>
        <v/>
      </c>
      <c r="E78" s="26">
        <f t="shared" si="8"/>
        <v>78</v>
      </c>
      <c r="F78" s="9" t="s">
        <v>220</v>
      </c>
      <c r="M78" s="26">
        <v>5</v>
      </c>
    </row>
    <row r="79" spans="4:13">
      <c r="D79" s="26" t="str">
        <f t="shared" si="7"/>
        <v/>
      </c>
      <c r="E79" s="26">
        <f t="shared" si="8"/>
        <v>79</v>
      </c>
      <c r="F79" s="9" t="s">
        <v>112</v>
      </c>
      <c r="K79" s="9" t="s">
        <v>159</v>
      </c>
      <c r="M79" s="26" t="s">
        <v>25</v>
      </c>
    </row>
    <row r="80" spans="4:13">
      <c r="D80" s="26" t="str">
        <f t="shared" si="7"/>
        <v/>
      </c>
      <c r="E80" s="26">
        <f t="shared" si="8"/>
        <v>80</v>
      </c>
      <c r="F80" s="9" t="s">
        <v>186</v>
      </c>
      <c r="K80" s="9" t="s">
        <v>158</v>
      </c>
      <c r="M80" s="26" t="s">
        <v>217</v>
      </c>
    </row>
    <row r="81" spans="1:60">
      <c r="D81" s="26" t="str">
        <f t="shared" si="7"/>
        <v/>
      </c>
      <c r="E81" s="26">
        <f t="shared" si="0"/>
        <v>81</v>
      </c>
      <c r="F81" s="9" t="s">
        <v>109</v>
      </c>
      <c r="M81" s="26" t="s">
        <v>24</v>
      </c>
    </row>
    <row r="82" spans="1:60">
      <c r="D82" s="26" t="str">
        <f t="shared" si="7"/>
        <v/>
      </c>
      <c r="E82" s="26">
        <f t="shared" si="0"/>
        <v>82</v>
      </c>
      <c r="F82" s="9" t="s">
        <v>31</v>
      </c>
      <c r="L82" s="9" t="s">
        <v>156</v>
      </c>
      <c r="M82" s="26" t="s">
        <v>37</v>
      </c>
    </row>
    <row r="83" spans="1:60">
      <c r="D83" s="26" t="str">
        <f t="shared" si="7"/>
        <v/>
      </c>
      <c r="E83" s="26">
        <f t="shared" si="0"/>
        <v>83</v>
      </c>
      <c r="F83" s="9" t="s">
        <v>135</v>
      </c>
      <c r="L83" s="9" t="s">
        <v>156</v>
      </c>
      <c r="M83" s="26" t="s">
        <v>207</v>
      </c>
    </row>
    <row r="84" spans="1:60">
      <c r="D84" s="26" t="str">
        <f t="shared" si="7"/>
        <v/>
      </c>
      <c r="F84" s="9" t="s">
        <v>210</v>
      </c>
      <c r="M84" s="26" t="s">
        <v>211</v>
      </c>
    </row>
    <row r="85" spans="1:60">
      <c r="D85" s="26" t="str">
        <f t="shared" si="7"/>
        <v/>
      </c>
      <c r="E85" s="26">
        <f>ROW(E85)</f>
        <v>85</v>
      </c>
      <c r="F85" s="9" t="s">
        <v>171</v>
      </c>
      <c r="M85" s="26" t="s">
        <v>213</v>
      </c>
    </row>
    <row r="88" spans="1:60" s="23" customFormat="1">
      <c r="A88" s="26"/>
      <c r="B88" s="26"/>
      <c r="C88" s="26"/>
      <c r="D88" s="28" t="str">
        <f>IF(OR(F88="ID",F88="符卡",F88="對話",F88="標題"),M88,"")</f>
        <v/>
      </c>
      <c r="E88" s="26"/>
      <c r="G88" s="28" t="s">
        <v>195</v>
      </c>
      <c r="H88" s="28"/>
      <c r="I88" s="28"/>
      <c r="J88" s="28"/>
      <c r="M88" s="26"/>
      <c r="S88" s="24"/>
      <c r="V88" s="24"/>
      <c r="W88" s="24"/>
      <c r="X88" s="24"/>
      <c r="Y88" s="25"/>
      <c r="Z88" s="25"/>
      <c r="AA88" s="25"/>
      <c r="AB88" s="25"/>
      <c r="AC88" s="25"/>
      <c r="AD88" s="25"/>
      <c r="AE88" s="25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22"/>
      <c r="BF88" s="22"/>
      <c r="BG88" s="22"/>
      <c r="BH88" s="22"/>
    </row>
    <row r="89" spans="1:60">
      <c r="D89" s="26" t="str">
        <f>IF(OR(F89="ID",F89="符卡",F89="對話",F89="標題"),M89,"")</f>
        <v/>
      </c>
      <c r="E89" s="26">
        <f>ROW(E89)</f>
        <v>89</v>
      </c>
      <c r="F89" s="9" t="s">
        <v>124</v>
      </c>
      <c r="M89" s="26" t="s">
        <v>170</v>
      </c>
    </row>
    <row r="90" spans="1:60">
      <c r="E90" s="26">
        <f>ROW(E90)</f>
        <v>90</v>
      </c>
      <c r="F90" s="9" t="s">
        <v>180</v>
      </c>
      <c r="M90" s="26" t="s">
        <v>181</v>
      </c>
    </row>
    <row r="91" spans="1:60">
      <c r="E91" s="26">
        <f>ROW(E91)</f>
        <v>91</v>
      </c>
      <c r="F91" s="9" t="s">
        <v>182</v>
      </c>
      <c r="M91" s="26" t="s">
        <v>183</v>
      </c>
    </row>
    <row r="92" spans="1:60">
      <c r="E92" s="26">
        <f>ROW(E92)</f>
        <v>92</v>
      </c>
      <c r="F92" s="9" t="s">
        <v>176</v>
      </c>
      <c r="M92" s="26" t="s">
        <v>47</v>
      </c>
    </row>
    <row r="93" spans="1:60">
      <c r="D93" s="26" t="str">
        <f t="shared" ref="D93:D100" si="9">IF(OR(F93="ID",F93="符卡",F93="對話",F93="標題"),M93,"")</f>
        <v/>
      </c>
      <c r="E93" s="26">
        <f t="shared" ref="E93:E97" si="10">ROW(E93)</f>
        <v>93</v>
      </c>
      <c r="F93" s="9" t="s">
        <v>104</v>
      </c>
      <c r="M93" s="26" t="s">
        <v>184</v>
      </c>
    </row>
    <row r="94" spans="1:60">
      <c r="D94" s="26" t="str">
        <f t="shared" si="9"/>
        <v/>
      </c>
      <c r="E94" s="26">
        <f t="shared" si="10"/>
        <v>94</v>
      </c>
      <c r="F94" s="9" t="s">
        <v>228</v>
      </c>
      <c r="M94" s="26">
        <v>0.5</v>
      </c>
    </row>
    <row r="95" spans="1:60">
      <c r="D95" s="26" t="str">
        <f t="shared" si="9"/>
        <v/>
      </c>
      <c r="E95" s="26">
        <f t="shared" si="10"/>
        <v>95</v>
      </c>
      <c r="F95" s="9" t="s">
        <v>220</v>
      </c>
      <c r="M95" s="26">
        <v>5</v>
      </c>
    </row>
    <row r="96" spans="1:60">
      <c r="D96" s="26" t="str">
        <f t="shared" si="9"/>
        <v/>
      </c>
      <c r="E96" s="26">
        <f t="shared" si="10"/>
        <v>96</v>
      </c>
      <c r="F96" s="9" t="s">
        <v>112</v>
      </c>
      <c r="K96" s="9" t="s">
        <v>159</v>
      </c>
      <c r="M96" s="26" t="s">
        <v>25</v>
      </c>
    </row>
    <row r="97" spans="4:13">
      <c r="D97" s="26" t="str">
        <f t="shared" si="9"/>
        <v/>
      </c>
      <c r="E97" s="26">
        <f t="shared" si="10"/>
        <v>97</v>
      </c>
      <c r="F97" s="9" t="s">
        <v>186</v>
      </c>
      <c r="K97" s="9" t="s">
        <v>158</v>
      </c>
      <c r="M97" s="26" t="s">
        <v>217</v>
      </c>
    </row>
    <row r="98" spans="4:13">
      <c r="D98" s="26" t="str">
        <f t="shared" si="9"/>
        <v/>
      </c>
      <c r="E98" s="26">
        <f t="shared" si="0"/>
        <v>98</v>
      </c>
      <c r="F98" s="9" t="s">
        <v>109</v>
      </c>
      <c r="M98" s="26" t="s">
        <v>24</v>
      </c>
    </row>
    <row r="99" spans="4:13">
      <c r="D99" s="26" t="str">
        <f t="shared" si="9"/>
        <v/>
      </c>
      <c r="E99" s="26">
        <f t="shared" si="0"/>
        <v>99</v>
      </c>
      <c r="F99" s="9" t="s">
        <v>31</v>
      </c>
      <c r="L99" s="9" t="s">
        <v>156</v>
      </c>
      <c r="M99" s="26" t="s">
        <v>37</v>
      </c>
    </row>
    <row r="100" spans="4:13">
      <c r="D100" s="26" t="str">
        <f t="shared" si="9"/>
        <v/>
      </c>
      <c r="E100" s="26">
        <f>ROW(E100)</f>
        <v>100</v>
      </c>
      <c r="F100" s="9" t="s">
        <v>171</v>
      </c>
      <c r="M100" s="26" t="s">
        <v>197</v>
      </c>
    </row>
    <row r="102" spans="4:13">
      <c r="D102" s="26" t="str">
        <f>IF(OR(F102="ID",F102="符卡",F102="對話",F102="標題"),M102,"")</f>
        <v/>
      </c>
      <c r="E102" s="26">
        <f>ROW(E102)</f>
        <v>102</v>
      </c>
      <c r="F102" s="9" t="s">
        <v>124</v>
      </c>
      <c r="M102" s="26" t="s">
        <v>170</v>
      </c>
    </row>
    <row r="103" spans="4:13">
      <c r="E103" s="26">
        <f>ROW(E103)</f>
        <v>103</v>
      </c>
      <c r="F103" s="9" t="s">
        <v>180</v>
      </c>
      <c r="M103" s="26" t="s">
        <v>190</v>
      </c>
    </row>
    <row r="104" spans="4:13">
      <c r="E104" s="26">
        <f>ROW(E104)</f>
        <v>104</v>
      </c>
      <c r="F104" s="9" t="s">
        <v>182</v>
      </c>
      <c r="M104" s="26" t="s">
        <v>183</v>
      </c>
    </row>
    <row r="105" spans="4:13">
      <c r="E105" s="26">
        <f>ROW(E105)</f>
        <v>105</v>
      </c>
      <c r="F105" s="9" t="s">
        <v>176</v>
      </c>
      <c r="M105" s="26" t="s">
        <v>47</v>
      </c>
    </row>
    <row r="106" spans="4:13">
      <c r="D106" s="26" t="str">
        <f t="shared" ref="D106:D113" si="11">IF(OR(F106="ID",F106="符卡",F106="對話",F106="標題"),M106,"")</f>
        <v/>
      </c>
      <c r="E106" s="26">
        <f t="shared" ref="E106:E110" si="12">ROW(E106)</f>
        <v>106</v>
      </c>
      <c r="F106" s="9" t="s">
        <v>104</v>
      </c>
      <c r="M106" s="26" t="s">
        <v>184</v>
      </c>
    </row>
    <row r="107" spans="4:13">
      <c r="D107" s="26" t="str">
        <f t="shared" si="11"/>
        <v/>
      </c>
      <c r="E107" s="26">
        <f t="shared" si="12"/>
        <v>107</v>
      </c>
      <c r="F107" s="9" t="s">
        <v>228</v>
      </c>
      <c r="M107" s="26">
        <v>0.5</v>
      </c>
    </row>
    <row r="108" spans="4:13">
      <c r="D108" s="26" t="str">
        <f t="shared" si="11"/>
        <v/>
      </c>
      <c r="E108" s="26">
        <f t="shared" si="12"/>
        <v>108</v>
      </c>
      <c r="F108" s="9" t="s">
        <v>220</v>
      </c>
      <c r="M108" s="26">
        <v>5</v>
      </c>
    </row>
    <row r="109" spans="4:13">
      <c r="D109" s="26" t="str">
        <f t="shared" si="11"/>
        <v/>
      </c>
      <c r="E109" s="26">
        <f t="shared" si="12"/>
        <v>109</v>
      </c>
      <c r="F109" s="9" t="s">
        <v>112</v>
      </c>
      <c r="K109" s="9" t="s">
        <v>159</v>
      </c>
      <c r="M109" s="26" t="s">
        <v>25</v>
      </c>
    </row>
    <row r="110" spans="4:13">
      <c r="D110" s="26" t="str">
        <f t="shared" si="11"/>
        <v/>
      </c>
      <c r="E110" s="26">
        <f t="shared" si="12"/>
        <v>110</v>
      </c>
      <c r="F110" s="9" t="s">
        <v>186</v>
      </c>
      <c r="K110" s="9" t="s">
        <v>158</v>
      </c>
      <c r="M110" s="26" t="s">
        <v>217</v>
      </c>
    </row>
    <row r="111" spans="4:13">
      <c r="D111" s="26" t="str">
        <f t="shared" si="11"/>
        <v/>
      </c>
      <c r="E111" s="26">
        <f t="shared" si="0"/>
        <v>111</v>
      </c>
      <c r="F111" s="9" t="s">
        <v>109</v>
      </c>
      <c r="M111" s="26" t="s">
        <v>24</v>
      </c>
    </row>
    <row r="112" spans="4:13">
      <c r="D112" s="26" t="str">
        <f t="shared" si="11"/>
        <v/>
      </c>
      <c r="E112" s="26">
        <f t="shared" si="0"/>
        <v>112</v>
      </c>
      <c r="F112" s="9" t="s">
        <v>31</v>
      </c>
      <c r="L112" s="9" t="s">
        <v>156</v>
      </c>
      <c r="M112" s="26" t="s">
        <v>37</v>
      </c>
    </row>
    <row r="113" spans="4:13">
      <c r="D113" s="26" t="str">
        <f t="shared" si="11"/>
        <v/>
      </c>
      <c r="E113" s="26">
        <f>ROW(E113)</f>
        <v>113</v>
      </c>
      <c r="F113" s="9" t="s">
        <v>171</v>
      </c>
      <c r="M113" s="26" t="s">
        <v>198</v>
      </c>
    </row>
    <row r="115" spans="4:13">
      <c r="D115" s="26" t="str">
        <f>IF(OR(F115="ID",F115="符卡",F115="對話",F115="標題"),M115,"")</f>
        <v/>
      </c>
      <c r="E115" s="26">
        <f>ROW(E115)</f>
        <v>115</v>
      </c>
      <c r="F115" s="9" t="s">
        <v>124</v>
      </c>
      <c r="M115" s="26" t="s">
        <v>170</v>
      </c>
    </row>
    <row r="116" spans="4:13">
      <c r="E116" s="26">
        <f>ROW(E116)</f>
        <v>116</v>
      </c>
      <c r="F116" s="9" t="s">
        <v>180</v>
      </c>
      <c r="M116" s="26" t="s">
        <v>196</v>
      </c>
    </row>
    <row r="117" spans="4:13">
      <c r="E117" s="26">
        <f>ROW(E117)</f>
        <v>117</v>
      </c>
      <c r="F117" s="9" t="s">
        <v>182</v>
      </c>
      <c r="M117" s="26" t="s">
        <v>183</v>
      </c>
    </row>
    <row r="118" spans="4:13">
      <c r="E118" s="26">
        <f>ROW(E118)</f>
        <v>118</v>
      </c>
      <c r="F118" s="9" t="s">
        <v>176</v>
      </c>
      <c r="M118" s="26" t="s">
        <v>47</v>
      </c>
    </row>
    <row r="119" spans="4:13">
      <c r="D119" s="26" t="str">
        <f t="shared" ref="D119:D126" si="13">IF(OR(F119="ID",F119="符卡",F119="對話",F119="標題"),M119,"")</f>
        <v/>
      </c>
      <c r="E119" s="26">
        <f t="shared" ref="E119:E123" si="14">ROW(E119)</f>
        <v>119</v>
      </c>
      <c r="F119" s="9" t="s">
        <v>104</v>
      </c>
      <c r="M119" s="26" t="s">
        <v>184</v>
      </c>
    </row>
    <row r="120" spans="4:13">
      <c r="D120" s="26" t="str">
        <f t="shared" si="13"/>
        <v/>
      </c>
      <c r="E120" s="26">
        <f t="shared" si="14"/>
        <v>120</v>
      </c>
      <c r="F120" s="9" t="s">
        <v>228</v>
      </c>
      <c r="M120" s="26">
        <v>0.5</v>
      </c>
    </row>
    <row r="121" spans="4:13">
      <c r="D121" s="26" t="str">
        <f t="shared" si="13"/>
        <v/>
      </c>
      <c r="E121" s="26">
        <f t="shared" si="14"/>
        <v>121</v>
      </c>
      <c r="F121" s="9" t="s">
        <v>220</v>
      </c>
      <c r="M121" s="26">
        <v>5</v>
      </c>
    </row>
    <row r="122" spans="4:13">
      <c r="D122" s="26" t="str">
        <f t="shared" si="13"/>
        <v/>
      </c>
      <c r="E122" s="26">
        <f t="shared" si="14"/>
        <v>122</v>
      </c>
      <c r="F122" s="9" t="s">
        <v>112</v>
      </c>
      <c r="K122" s="9" t="s">
        <v>159</v>
      </c>
      <c r="M122" s="26" t="s">
        <v>25</v>
      </c>
    </row>
    <row r="123" spans="4:13">
      <c r="D123" s="26" t="str">
        <f t="shared" si="13"/>
        <v/>
      </c>
      <c r="E123" s="26">
        <f t="shared" si="14"/>
        <v>123</v>
      </c>
      <c r="F123" s="9" t="s">
        <v>186</v>
      </c>
      <c r="K123" s="9" t="s">
        <v>158</v>
      </c>
      <c r="M123" s="26" t="s">
        <v>217</v>
      </c>
    </row>
    <row r="124" spans="4:13">
      <c r="D124" s="26" t="str">
        <f t="shared" si="13"/>
        <v/>
      </c>
      <c r="E124" s="26">
        <f t="shared" si="0"/>
        <v>124</v>
      </c>
      <c r="F124" s="9" t="s">
        <v>109</v>
      </c>
      <c r="M124" s="26" t="s">
        <v>24</v>
      </c>
    </row>
    <row r="125" spans="4:13">
      <c r="D125" s="26" t="str">
        <f t="shared" si="13"/>
        <v/>
      </c>
      <c r="E125" s="26">
        <f t="shared" si="0"/>
        <v>125</v>
      </c>
      <c r="F125" s="9" t="s">
        <v>31</v>
      </c>
      <c r="L125" s="9" t="s">
        <v>156</v>
      </c>
      <c r="M125" s="26" t="s">
        <v>37</v>
      </c>
    </row>
    <row r="126" spans="4:13">
      <c r="D126" s="26" t="str">
        <f t="shared" si="13"/>
        <v/>
      </c>
      <c r="E126" s="26">
        <f>ROW(E126)</f>
        <v>126</v>
      </c>
      <c r="F126" s="9" t="s">
        <v>171</v>
      </c>
      <c r="M126" s="26" t="s">
        <v>199</v>
      </c>
    </row>
    <row r="129" spans="1:60" s="23" customFormat="1">
      <c r="A129" s="26"/>
      <c r="B129" s="26"/>
      <c r="C129" s="26"/>
      <c r="D129" s="28" t="str">
        <f>IF(OR(F129="ID",F129="符卡",F129="對話",F129="標題"),M129,"")</f>
        <v/>
      </c>
      <c r="E129" s="26"/>
      <c r="G129" s="28" t="s">
        <v>200</v>
      </c>
      <c r="H129" s="28"/>
      <c r="I129" s="28"/>
      <c r="J129" s="28"/>
      <c r="M129" s="26"/>
      <c r="S129" s="24"/>
      <c r="V129" s="24"/>
      <c r="W129" s="24"/>
      <c r="X129" s="24"/>
      <c r="Y129" s="25"/>
      <c r="Z129" s="25"/>
      <c r="AA129" s="25"/>
      <c r="AB129" s="25"/>
      <c r="AC129" s="25"/>
      <c r="AD129" s="25"/>
      <c r="AE129" s="25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  <c r="BD129" s="22"/>
      <c r="BE129" s="22"/>
      <c r="BF129" s="22"/>
      <c r="BG129" s="22"/>
      <c r="BH129" s="22"/>
    </row>
    <row r="131" spans="1:60" s="30" customFormat="1">
      <c r="A131" s="26"/>
      <c r="B131" s="26"/>
      <c r="C131" s="26"/>
      <c r="D131" s="29"/>
      <c r="E131" s="26"/>
      <c r="G131" s="29"/>
      <c r="H131" s="29"/>
      <c r="I131" s="29"/>
      <c r="J131" s="29"/>
      <c r="M131" s="26"/>
      <c r="S131" s="31"/>
      <c r="V131" s="31"/>
      <c r="W131" s="31"/>
      <c r="X131" s="31"/>
      <c r="Y131" s="32"/>
      <c r="Z131" s="32"/>
      <c r="AA131" s="32"/>
      <c r="AB131" s="32"/>
      <c r="AC131" s="32"/>
      <c r="AD131" s="32"/>
      <c r="AE131" s="32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</row>
    <row r="135" spans="1:60">
      <c r="A135" s="26">
        <f>G137*H137</f>
        <v>4</v>
      </c>
      <c r="B135" s="9"/>
      <c r="C135" s="9"/>
      <c r="D135" s="9"/>
    </row>
    <row r="136" spans="1:60">
      <c r="A136" s="9" t="s">
        <v>301</v>
      </c>
      <c r="B136" s="26">
        <f>QUOTIENT( D136-1,G137)+1</f>
        <v>1</v>
      </c>
      <c r="C136" s="26">
        <f>D136-(B136-1)*G137</f>
        <v>1</v>
      </c>
      <c r="D136" s="26">
        <f>COUNT($D$135:$D135)+1</f>
        <v>1</v>
      </c>
    </row>
    <row r="137" spans="1:60">
      <c r="D137" s="26" t="str">
        <f>IF(OR(F137="ID",F137="符卡",F137="對話",F137="標題"),M137,"")</f>
        <v/>
      </c>
      <c r="E137" s="26">
        <f t="shared" si="0"/>
        <v>137</v>
      </c>
      <c r="F137" s="9" t="s">
        <v>124</v>
      </c>
      <c r="G137" s="26">
        <v>4</v>
      </c>
      <c r="H137" s="26">
        <v>1</v>
      </c>
      <c r="J137" s="26" t="s">
        <v>188</v>
      </c>
      <c r="M137" s="26">
        <f>J137+D136</f>
        <v>121</v>
      </c>
    </row>
    <row r="138" spans="1:60">
      <c r="E138" s="26">
        <f>ROW(E138)</f>
        <v>138</v>
      </c>
      <c r="F138" s="9" t="s">
        <v>180</v>
      </c>
      <c r="M138" s="26" t="s">
        <v>222</v>
      </c>
    </row>
    <row r="139" spans="1:60">
      <c r="E139" s="26">
        <f>ROW(E139)</f>
        <v>139</v>
      </c>
      <c r="F139" s="9" t="s">
        <v>182</v>
      </c>
      <c r="M139" s="26" t="s">
        <v>113</v>
      </c>
    </row>
    <row r="140" spans="1:60">
      <c r="E140" s="26">
        <f>ROW(E140)</f>
        <v>140</v>
      </c>
      <c r="F140" s="9" t="s">
        <v>176</v>
      </c>
      <c r="M140" s="26" t="s">
        <v>50</v>
      </c>
    </row>
    <row r="141" spans="1:60">
      <c r="E141" s="26">
        <f>ROW(E141)</f>
        <v>141</v>
      </c>
      <c r="F141" s="9" t="s">
        <v>185</v>
      </c>
      <c r="M141" s="26">
        <v>0</v>
      </c>
    </row>
    <row r="142" spans="1:60">
      <c r="D142" s="26" t="str">
        <f>IF(OR(F142="ID",F142="符卡",F142="對話",F142="標題"),M142,"")</f>
        <v/>
      </c>
      <c r="E142" s="26">
        <f t="shared" ref="E142:E149" si="15">ROW(E142)</f>
        <v>142</v>
      </c>
      <c r="F142" s="9" t="s">
        <v>104</v>
      </c>
      <c r="M142" s="26" t="s">
        <v>221</v>
      </c>
    </row>
    <row r="143" spans="1:60">
      <c r="D143" s="26" t="str">
        <f>IF(OR(F143="ID",F143="符卡",F143="對話",F143="標題"),M143,"")</f>
        <v/>
      </c>
      <c r="E143" s="26">
        <f t="shared" si="15"/>
        <v>143</v>
      </c>
      <c r="F143" s="9" t="s">
        <v>112</v>
      </c>
      <c r="K143" s="9" t="s">
        <v>159</v>
      </c>
      <c r="M143" s="26" t="s">
        <v>39</v>
      </c>
    </row>
    <row r="144" spans="1:60">
      <c r="D144" s="26" t="str">
        <f>IF(OR(F144="ID",F144="符卡",F144="對話",F144="標題"),M144,"")</f>
        <v/>
      </c>
      <c r="E144" s="26">
        <f t="shared" si="15"/>
        <v>144</v>
      </c>
      <c r="F144" s="9" t="s">
        <v>186</v>
      </c>
      <c r="K144" s="9" t="s">
        <v>158</v>
      </c>
      <c r="M144" s="26" t="s">
        <v>302</v>
      </c>
    </row>
    <row r="145" spans="1:13">
      <c r="D145" s="26" t="str">
        <f>IF(OR(F145="ID",F145="符卡",F145="對話",F145="標題"),M145,"")</f>
        <v/>
      </c>
      <c r="E145" s="26">
        <f t="shared" si="15"/>
        <v>145</v>
      </c>
      <c r="F145" s="9" t="s">
        <v>109</v>
      </c>
      <c r="M145" s="26" t="s">
        <v>42</v>
      </c>
    </row>
    <row r="146" spans="1:13">
      <c r="D146" s="26" t="str">
        <f>IF(OR(F146="ID",F146="符卡",F146="對話",F146="標題"),M146,"")</f>
        <v/>
      </c>
      <c r="E146" s="26">
        <f t="shared" si="15"/>
        <v>146</v>
      </c>
      <c r="F146" s="9" t="s">
        <v>31</v>
      </c>
      <c r="G146" s="26" t="s">
        <v>37</v>
      </c>
      <c r="H146" s="9" t="s">
        <v>192</v>
      </c>
      <c r="I146" s="9" t="s">
        <v>191</v>
      </c>
      <c r="L146" s="9" t="s">
        <v>156</v>
      </c>
      <c r="M146" s="26">
        <f>$G$146+$H$146+$I$146*C136</f>
        <v>60</v>
      </c>
    </row>
    <row r="147" spans="1:13">
      <c r="E147" s="26">
        <f t="shared" si="15"/>
        <v>147</v>
      </c>
      <c r="F147" s="9" t="s">
        <v>136</v>
      </c>
      <c r="M147" s="26" t="s">
        <v>203</v>
      </c>
    </row>
    <row r="148" spans="1:13">
      <c r="E148" s="26">
        <f t="shared" si="15"/>
        <v>148</v>
      </c>
      <c r="F148" s="9" t="s">
        <v>220</v>
      </c>
      <c r="M148" s="26" t="s">
        <v>215</v>
      </c>
    </row>
    <row r="149" spans="1:13">
      <c r="D149" s="26" t="str">
        <f>IF(OR(F149="ID",F149="符卡",F149="對話",F149="標題"),M149,"")</f>
        <v/>
      </c>
      <c r="E149" s="26">
        <f t="shared" si="15"/>
        <v>149</v>
      </c>
      <c r="F149" s="9" t="s">
        <v>171</v>
      </c>
      <c r="M149" s="26" t="s">
        <v>222</v>
      </c>
    </row>
    <row r="150" spans="1:13">
      <c r="A150" s="26" t="s">
        <v>301</v>
      </c>
      <c r="B150" s="26">
        <f t="shared" ref="B150" si="16">QUOTIENT( D150-1,G151)+1</f>
        <v>1</v>
      </c>
      <c r="C150" s="26">
        <f t="shared" ref="C150" si="17">D150-(B150-1)*G151</f>
        <v>2</v>
      </c>
      <c r="D150" s="26">
        <f>COUNT($D$135:$D149)+1</f>
        <v>2</v>
      </c>
    </row>
    <row r="151" spans="1:13">
      <c r="D151" s="26" t="str">
        <f t="shared" ref="D151" si="18">IF(OR(F151="ID",F151="符卡",F151="對話",F151="標題"),M151,"")</f>
        <v/>
      </c>
      <c r="E151" s="26">
        <f t="shared" ref="E151:E191" si="19">ROW(E151)</f>
        <v>151</v>
      </c>
      <c r="F151" s="9" t="s">
        <v>124</v>
      </c>
      <c r="G151" s="26">
        <v>4</v>
      </c>
      <c r="H151" s="26">
        <v>1</v>
      </c>
      <c r="J151" s="26" t="s">
        <v>303</v>
      </c>
      <c r="M151" s="26">
        <f t="shared" ref="M151" si="20">J151+D150</f>
        <v>122</v>
      </c>
    </row>
    <row r="152" spans="1:13">
      <c r="E152" s="26">
        <f t="shared" si="19"/>
        <v>152</v>
      </c>
      <c r="F152" s="9" t="s">
        <v>180</v>
      </c>
      <c r="M152" s="26" t="s">
        <v>222</v>
      </c>
    </row>
    <row r="153" spans="1:13">
      <c r="E153" s="26">
        <f t="shared" si="19"/>
        <v>153</v>
      </c>
      <c r="F153" s="9" t="s">
        <v>182</v>
      </c>
      <c r="M153" s="26" t="s">
        <v>113</v>
      </c>
    </row>
    <row r="154" spans="1:13">
      <c r="E154" s="26">
        <f t="shared" si="19"/>
        <v>154</v>
      </c>
      <c r="F154" s="9" t="s">
        <v>176</v>
      </c>
      <c r="M154" s="26" t="s">
        <v>50</v>
      </c>
    </row>
    <row r="155" spans="1:13">
      <c r="E155" s="26">
        <f t="shared" si="19"/>
        <v>155</v>
      </c>
      <c r="F155" s="9" t="s">
        <v>185</v>
      </c>
      <c r="M155" s="26">
        <v>0</v>
      </c>
    </row>
    <row r="156" spans="1:13">
      <c r="D156" s="26" t="str">
        <f t="shared" ref="D156:D160" si="21">IF(OR(F156="ID",F156="符卡",F156="對話",F156="標題"),M156,"")</f>
        <v/>
      </c>
      <c r="E156" s="26">
        <f t="shared" si="19"/>
        <v>156</v>
      </c>
      <c r="F156" s="9" t="s">
        <v>29</v>
      </c>
      <c r="M156" s="26" t="s">
        <v>221</v>
      </c>
    </row>
    <row r="157" spans="1:13">
      <c r="D157" s="26" t="str">
        <f t="shared" si="21"/>
        <v/>
      </c>
      <c r="E157" s="26">
        <f t="shared" si="19"/>
        <v>157</v>
      </c>
      <c r="F157" s="9" t="s">
        <v>112</v>
      </c>
      <c r="K157" s="9" t="s">
        <v>159</v>
      </c>
      <c r="M157" s="26" t="s">
        <v>39</v>
      </c>
    </row>
    <row r="158" spans="1:13">
      <c r="D158" s="26" t="str">
        <f t="shared" si="21"/>
        <v/>
      </c>
      <c r="E158" s="26">
        <f t="shared" si="19"/>
        <v>158</v>
      </c>
      <c r="F158" s="9" t="s">
        <v>186</v>
      </c>
      <c r="K158" s="9" t="s">
        <v>158</v>
      </c>
      <c r="M158" s="26" t="s">
        <v>302</v>
      </c>
    </row>
    <row r="159" spans="1:13">
      <c r="D159" s="26" t="str">
        <f t="shared" si="21"/>
        <v/>
      </c>
      <c r="E159" s="26">
        <f t="shared" si="19"/>
        <v>159</v>
      </c>
      <c r="F159" s="9" t="s">
        <v>30</v>
      </c>
      <c r="M159" s="26" t="s">
        <v>42</v>
      </c>
    </row>
    <row r="160" spans="1:13">
      <c r="D160" s="26" t="str">
        <f t="shared" si="21"/>
        <v/>
      </c>
      <c r="E160" s="26">
        <f t="shared" si="19"/>
        <v>160</v>
      </c>
      <c r="F160" s="9" t="s">
        <v>31</v>
      </c>
      <c r="G160" s="26" t="s">
        <v>107</v>
      </c>
      <c r="H160" s="26" t="s">
        <v>304</v>
      </c>
      <c r="I160" s="26" t="s">
        <v>55</v>
      </c>
      <c r="L160" s="9" t="s">
        <v>156</v>
      </c>
      <c r="M160" s="26">
        <f t="shared" ref="M160" si="22">$G$146+$H$146+$I$146*C150</f>
        <v>80</v>
      </c>
    </row>
    <row r="161" spans="1:13">
      <c r="E161" s="26">
        <f t="shared" si="19"/>
        <v>161</v>
      </c>
      <c r="F161" s="9" t="s">
        <v>136</v>
      </c>
      <c r="M161" s="26" t="s">
        <v>118</v>
      </c>
    </row>
    <row r="162" spans="1:13">
      <c r="E162" s="26">
        <f t="shared" si="19"/>
        <v>162</v>
      </c>
      <c r="F162" s="9" t="s">
        <v>220</v>
      </c>
      <c r="M162" s="26" t="s">
        <v>106</v>
      </c>
    </row>
    <row r="163" spans="1:13">
      <c r="D163" s="26" t="str">
        <f t="shared" ref="D163" si="23">IF(OR(F163="ID",F163="符卡",F163="對話",F163="標題"),M163,"")</f>
        <v/>
      </c>
      <c r="E163" s="26">
        <f t="shared" si="19"/>
        <v>163</v>
      </c>
      <c r="F163" s="9" t="s">
        <v>127</v>
      </c>
      <c r="M163" s="26" t="s">
        <v>222</v>
      </c>
    </row>
    <row r="164" spans="1:13">
      <c r="A164" s="26" t="s">
        <v>301</v>
      </c>
      <c r="B164" s="26">
        <f t="shared" ref="B164" si="24">QUOTIENT( D164-1,G165)+1</f>
        <v>1</v>
      </c>
      <c r="C164" s="26">
        <f t="shared" ref="C164" si="25">D164-(B164-1)*G165</f>
        <v>3</v>
      </c>
      <c r="D164" s="26">
        <f>COUNT($D$135:$D163)+1</f>
        <v>3</v>
      </c>
    </row>
    <row r="165" spans="1:13">
      <c r="D165" s="26" t="str">
        <f t="shared" ref="D165" si="26">IF(OR(F165="ID",F165="符卡",F165="對話",F165="標題"),M165,"")</f>
        <v/>
      </c>
      <c r="E165" s="26">
        <f t="shared" si="19"/>
        <v>165</v>
      </c>
      <c r="F165" s="9" t="s">
        <v>124</v>
      </c>
      <c r="G165" s="26">
        <v>4</v>
      </c>
      <c r="H165" s="26">
        <v>1</v>
      </c>
      <c r="J165" s="26" t="s">
        <v>303</v>
      </c>
      <c r="M165" s="26">
        <f t="shared" ref="M165" si="27">J165+D164</f>
        <v>123</v>
      </c>
    </row>
    <row r="166" spans="1:13">
      <c r="E166" s="26">
        <f t="shared" si="19"/>
        <v>166</v>
      </c>
      <c r="F166" s="9" t="s">
        <v>180</v>
      </c>
      <c r="M166" s="26" t="s">
        <v>222</v>
      </c>
    </row>
    <row r="167" spans="1:13">
      <c r="E167" s="26">
        <f t="shared" si="19"/>
        <v>167</v>
      </c>
      <c r="F167" s="9" t="s">
        <v>182</v>
      </c>
      <c r="M167" s="26" t="s">
        <v>113</v>
      </c>
    </row>
    <row r="168" spans="1:13">
      <c r="E168" s="26">
        <f t="shared" si="19"/>
        <v>168</v>
      </c>
      <c r="F168" s="9" t="s">
        <v>176</v>
      </c>
      <c r="M168" s="26" t="s">
        <v>50</v>
      </c>
    </row>
    <row r="169" spans="1:13">
      <c r="E169" s="26">
        <f t="shared" si="19"/>
        <v>169</v>
      </c>
      <c r="F169" s="9" t="s">
        <v>185</v>
      </c>
      <c r="M169" s="26">
        <v>0</v>
      </c>
    </row>
    <row r="170" spans="1:13">
      <c r="D170" s="26" t="str">
        <f t="shared" ref="D170:D174" si="28">IF(OR(F170="ID",F170="符卡",F170="對話",F170="標題"),M170,"")</f>
        <v/>
      </c>
      <c r="E170" s="26">
        <f t="shared" si="19"/>
        <v>170</v>
      </c>
      <c r="F170" s="9" t="s">
        <v>29</v>
      </c>
      <c r="M170" s="26" t="s">
        <v>221</v>
      </c>
    </row>
    <row r="171" spans="1:13">
      <c r="D171" s="26" t="str">
        <f t="shared" si="28"/>
        <v/>
      </c>
      <c r="E171" s="26">
        <f t="shared" si="19"/>
        <v>171</v>
      </c>
      <c r="F171" s="9" t="s">
        <v>112</v>
      </c>
      <c r="K171" s="9" t="s">
        <v>159</v>
      </c>
      <c r="M171" s="26" t="s">
        <v>39</v>
      </c>
    </row>
    <row r="172" spans="1:13">
      <c r="D172" s="26" t="str">
        <f t="shared" si="28"/>
        <v/>
      </c>
      <c r="E172" s="26">
        <f t="shared" si="19"/>
        <v>172</v>
      </c>
      <c r="F172" s="9" t="s">
        <v>186</v>
      </c>
      <c r="K172" s="9" t="s">
        <v>158</v>
      </c>
      <c r="M172" s="26" t="s">
        <v>302</v>
      </c>
    </row>
    <row r="173" spans="1:13">
      <c r="D173" s="26" t="str">
        <f t="shared" si="28"/>
        <v/>
      </c>
      <c r="E173" s="26">
        <f t="shared" si="19"/>
        <v>173</v>
      </c>
      <c r="F173" s="9" t="s">
        <v>30</v>
      </c>
      <c r="M173" s="26" t="s">
        <v>42</v>
      </c>
    </row>
    <row r="174" spans="1:13">
      <c r="D174" s="26" t="str">
        <f t="shared" si="28"/>
        <v/>
      </c>
      <c r="E174" s="26">
        <f t="shared" si="19"/>
        <v>174</v>
      </c>
      <c r="F174" s="9" t="s">
        <v>31</v>
      </c>
      <c r="G174" s="26" t="s">
        <v>107</v>
      </c>
      <c r="H174" s="26" t="s">
        <v>304</v>
      </c>
      <c r="I174" s="26" t="s">
        <v>55</v>
      </c>
      <c r="L174" s="9" t="s">
        <v>156</v>
      </c>
      <c r="M174" s="26">
        <f t="shared" ref="M174" si="29">$G$146+$H$146+$I$146*C164</f>
        <v>100</v>
      </c>
    </row>
    <row r="175" spans="1:13">
      <c r="E175" s="26">
        <f t="shared" si="19"/>
        <v>175</v>
      </c>
      <c r="F175" s="9" t="s">
        <v>136</v>
      </c>
      <c r="M175" s="26" t="s">
        <v>118</v>
      </c>
    </row>
    <row r="176" spans="1:13">
      <c r="E176" s="26">
        <f t="shared" si="19"/>
        <v>176</v>
      </c>
      <c r="F176" s="9" t="s">
        <v>220</v>
      </c>
      <c r="M176" s="26" t="s">
        <v>106</v>
      </c>
    </row>
    <row r="177" spans="1:13">
      <c r="D177" s="26" t="str">
        <f t="shared" ref="D177" si="30">IF(OR(F177="ID",F177="符卡",F177="對話",F177="標題"),M177,"")</f>
        <v/>
      </c>
      <c r="E177" s="26">
        <f t="shared" si="19"/>
        <v>177</v>
      </c>
      <c r="F177" s="9" t="s">
        <v>127</v>
      </c>
      <c r="M177" s="26" t="s">
        <v>222</v>
      </c>
    </row>
    <row r="178" spans="1:13">
      <c r="A178" s="26" t="s">
        <v>301</v>
      </c>
      <c r="B178" s="26">
        <f t="shared" ref="B178" si="31">QUOTIENT( D178-1,G179)+1</f>
        <v>1</v>
      </c>
      <c r="C178" s="26">
        <f t="shared" ref="C178" si="32">D178-(B178-1)*G179</f>
        <v>4</v>
      </c>
      <c r="D178" s="26">
        <f>COUNT($D$135:$D177)+1</f>
        <v>4</v>
      </c>
    </row>
    <row r="179" spans="1:13">
      <c r="D179" s="26" t="str">
        <f t="shared" ref="D179" si="33">IF(OR(F179="ID",F179="符卡",F179="對話",F179="標題"),M179,"")</f>
        <v/>
      </c>
      <c r="E179" s="26">
        <f t="shared" si="19"/>
        <v>179</v>
      </c>
      <c r="F179" s="9" t="s">
        <v>124</v>
      </c>
      <c r="G179" s="26">
        <v>4</v>
      </c>
      <c r="H179" s="26">
        <v>1</v>
      </c>
      <c r="J179" s="26" t="s">
        <v>303</v>
      </c>
      <c r="M179" s="26">
        <f t="shared" ref="M179" si="34">J179+D178</f>
        <v>124</v>
      </c>
    </row>
    <row r="180" spans="1:13">
      <c r="E180" s="26">
        <f t="shared" si="19"/>
        <v>180</v>
      </c>
      <c r="F180" s="9" t="s">
        <v>180</v>
      </c>
      <c r="M180" s="26" t="s">
        <v>222</v>
      </c>
    </row>
    <row r="181" spans="1:13">
      <c r="E181" s="26">
        <f t="shared" si="19"/>
        <v>181</v>
      </c>
      <c r="F181" s="9" t="s">
        <v>182</v>
      </c>
      <c r="M181" s="26" t="s">
        <v>113</v>
      </c>
    </row>
    <row r="182" spans="1:13">
      <c r="E182" s="26">
        <f t="shared" si="19"/>
        <v>182</v>
      </c>
      <c r="F182" s="9" t="s">
        <v>176</v>
      </c>
      <c r="M182" s="26" t="s">
        <v>50</v>
      </c>
    </row>
    <row r="183" spans="1:13">
      <c r="E183" s="26">
        <f t="shared" si="19"/>
        <v>183</v>
      </c>
      <c r="F183" s="9" t="s">
        <v>185</v>
      </c>
      <c r="M183" s="26">
        <v>0</v>
      </c>
    </row>
    <row r="184" spans="1:13">
      <c r="D184" s="26" t="str">
        <f t="shared" ref="D184:D188" si="35">IF(OR(F184="ID",F184="符卡",F184="對話",F184="標題"),M184,"")</f>
        <v/>
      </c>
      <c r="E184" s="26">
        <f t="shared" si="19"/>
        <v>184</v>
      </c>
      <c r="F184" s="9" t="s">
        <v>29</v>
      </c>
      <c r="M184" s="26" t="s">
        <v>221</v>
      </c>
    </row>
    <row r="185" spans="1:13">
      <c r="D185" s="26" t="str">
        <f t="shared" si="35"/>
        <v/>
      </c>
      <c r="E185" s="26">
        <f t="shared" si="19"/>
        <v>185</v>
      </c>
      <c r="F185" s="9" t="s">
        <v>112</v>
      </c>
      <c r="K185" s="9" t="s">
        <v>159</v>
      </c>
      <c r="M185" s="26" t="s">
        <v>39</v>
      </c>
    </row>
    <row r="186" spans="1:13">
      <c r="D186" s="26" t="str">
        <f t="shared" si="35"/>
        <v/>
      </c>
      <c r="E186" s="26">
        <f t="shared" si="19"/>
        <v>186</v>
      </c>
      <c r="F186" s="9" t="s">
        <v>186</v>
      </c>
      <c r="K186" s="9" t="s">
        <v>158</v>
      </c>
      <c r="M186" s="26" t="s">
        <v>302</v>
      </c>
    </row>
    <row r="187" spans="1:13">
      <c r="D187" s="26" t="str">
        <f t="shared" si="35"/>
        <v/>
      </c>
      <c r="E187" s="26">
        <f t="shared" si="19"/>
        <v>187</v>
      </c>
      <c r="F187" s="9" t="s">
        <v>30</v>
      </c>
      <c r="M187" s="26" t="s">
        <v>42</v>
      </c>
    </row>
    <row r="188" spans="1:13">
      <c r="D188" s="26" t="str">
        <f t="shared" si="35"/>
        <v/>
      </c>
      <c r="E188" s="26">
        <f t="shared" si="19"/>
        <v>188</v>
      </c>
      <c r="F188" s="9" t="s">
        <v>31</v>
      </c>
      <c r="G188" s="26" t="s">
        <v>107</v>
      </c>
      <c r="H188" s="26" t="s">
        <v>304</v>
      </c>
      <c r="I188" s="26" t="s">
        <v>55</v>
      </c>
      <c r="L188" s="9" t="s">
        <v>156</v>
      </c>
      <c r="M188" s="26">
        <f t="shared" ref="M188" si="36">$G$146+$H$146+$I$146*C178</f>
        <v>120</v>
      </c>
    </row>
    <row r="189" spans="1:13">
      <c r="E189" s="26">
        <f t="shared" si="19"/>
        <v>189</v>
      </c>
      <c r="F189" s="9" t="s">
        <v>136</v>
      </c>
      <c r="M189" s="26" t="s">
        <v>118</v>
      </c>
    </row>
    <row r="190" spans="1:13">
      <c r="E190" s="26">
        <f t="shared" si="19"/>
        <v>190</v>
      </c>
      <c r="F190" s="9" t="s">
        <v>220</v>
      </c>
      <c r="M190" s="26" t="s">
        <v>106</v>
      </c>
    </row>
    <row r="191" spans="1:13">
      <c r="D191" s="26" t="str">
        <f t="shared" ref="D191" si="37">IF(OR(F191="ID",F191="符卡",F191="對話",F191="標題"),M191,"")</f>
        <v/>
      </c>
      <c r="E191" s="26">
        <f t="shared" si="19"/>
        <v>191</v>
      </c>
      <c r="F191" s="9" t="s">
        <v>127</v>
      </c>
      <c r="M191" s="26" t="s">
        <v>222</v>
      </c>
    </row>
    <row r="194" spans="1:60" s="30" customFormat="1">
      <c r="A194" s="26"/>
      <c r="B194" s="26" t="s">
        <v>190</v>
      </c>
      <c r="C194" s="26"/>
      <c r="D194" s="29"/>
      <c r="E194" s="26"/>
      <c r="G194" s="29"/>
      <c r="H194" s="29"/>
      <c r="I194" s="29"/>
      <c r="J194" s="29"/>
      <c r="M194" s="26"/>
      <c r="S194" s="31"/>
      <c r="V194" s="31"/>
      <c r="W194" s="31"/>
      <c r="X194" s="31"/>
      <c r="Y194" s="32"/>
      <c r="Z194" s="32"/>
      <c r="AA194" s="32"/>
      <c r="AB194" s="32"/>
      <c r="AC194" s="32"/>
      <c r="AD194" s="32"/>
      <c r="AE194" s="32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</row>
    <row r="197" spans="1:60">
      <c r="M197" s="9"/>
    </row>
    <row r="198" spans="1:60">
      <c r="A198" s="26">
        <f>G200*H200</f>
        <v>8</v>
      </c>
      <c r="D198" s="9"/>
    </row>
    <row r="199" spans="1:60">
      <c r="B199" s="26">
        <f>QUOTIENT( D199-1,G200)+1</f>
        <v>1</v>
      </c>
      <c r="C199" s="26">
        <f>D199-(B199-1)*G200</f>
        <v>1</v>
      </c>
      <c r="D199" s="26">
        <f>COUNT($D$198:$D198)+1</f>
        <v>1</v>
      </c>
    </row>
    <row r="200" spans="1:60">
      <c r="D200" s="26" t="str">
        <f>IF(OR(F200="ID",F200="符卡",F200="對話",F200="標題"),M200,"")</f>
        <v/>
      </c>
      <c r="E200" s="26">
        <f t="shared" ref="E200:E287" si="38">ROW(E200)</f>
        <v>200</v>
      </c>
      <c r="F200" s="9" t="s">
        <v>124</v>
      </c>
      <c r="G200" s="26" t="s">
        <v>105</v>
      </c>
      <c r="H200" s="26" t="s">
        <v>25</v>
      </c>
      <c r="J200" s="26">
        <v>130</v>
      </c>
      <c r="M200" s="26">
        <f>$J$200+D199</f>
        <v>131</v>
      </c>
    </row>
    <row r="201" spans="1:60">
      <c r="E201" s="26">
        <f>ROW(E201)</f>
        <v>201</v>
      </c>
      <c r="F201" s="9" t="s">
        <v>180</v>
      </c>
      <c r="M201" s="26" t="s">
        <v>39</v>
      </c>
    </row>
    <row r="202" spans="1:60">
      <c r="E202" s="26">
        <f>ROW(E202)</f>
        <v>202</v>
      </c>
      <c r="F202" s="9" t="s">
        <v>182</v>
      </c>
      <c r="M202" s="26" t="s">
        <v>113</v>
      </c>
    </row>
    <row r="203" spans="1:60">
      <c r="E203" s="26">
        <f>ROW(E203)</f>
        <v>203</v>
      </c>
      <c r="F203" s="9" t="s">
        <v>176</v>
      </c>
      <c r="M203" s="26" t="s">
        <v>50</v>
      </c>
    </row>
    <row r="204" spans="1:60">
      <c r="E204" s="26">
        <f>ROW(E204)</f>
        <v>204</v>
      </c>
      <c r="F204" s="9" t="s">
        <v>185</v>
      </c>
      <c r="M204" s="26">
        <f>C199*4</f>
        <v>4</v>
      </c>
    </row>
    <row r="205" spans="1:60">
      <c r="D205" s="26" t="str">
        <f>IF(OR(F205="ID",F205="符卡",F205="對話",F205="標題"),M205,"")</f>
        <v/>
      </c>
      <c r="E205" s="26">
        <f t="shared" ref="E205:E213" si="39">ROW(E205)</f>
        <v>205</v>
      </c>
      <c r="F205" s="9" t="s">
        <v>104</v>
      </c>
      <c r="M205" s="26" t="s">
        <v>221</v>
      </c>
    </row>
    <row r="206" spans="1:60">
      <c r="D206" s="26" t="str">
        <f>IF(OR(F206="ID",F206="符卡",F206="對話",F206="標題"),M206,"")</f>
        <v/>
      </c>
      <c r="E206" s="26">
        <f t="shared" si="39"/>
        <v>206</v>
      </c>
      <c r="F206" s="9" t="s">
        <v>112</v>
      </c>
      <c r="K206" s="9" t="s">
        <v>159</v>
      </c>
      <c r="M206" s="26" t="s">
        <v>39</v>
      </c>
    </row>
    <row r="207" spans="1:60">
      <c r="D207" s="26" t="str">
        <f>IF(OR(F207="ID",F207="符卡",F207="對話",F207="標題"),M207,"")</f>
        <v/>
      </c>
      <c r="E207" s="26">
        <f t="shared" si="39"/>
        <v>207</v>
      </c>
      <c r="F207" s="9" t="s">
        <v>186</v>
      </c>
      <c r="G207" s="26" t="b">
        <f>MOD(B199,2)=0</f>
        <v>0</v>
      </c>
      <c r="H207" s="26" t="s">
        <v>189</v>
      </c>
      <c r="I207" s="9" t="s">
        <v>187</v>
      </c>
      <c r="J207" s="9"/>
      <c r="K207" s="9" t="s">
        <v>158</v>
      </c>
      <c r="M207" s="26" t="str">
        <f>IF(G207,$H$207,$I$207)</f>
        <v>0.5,-0.3</v>
      </c>
    </row>
    <row r="208" spans="1:60">
      <c r="D208" s="26" t="str">
        <f>IF(OR(F208="ID",F208="符卡",F208="對話",F208="標題"),M208,"")</f>
        <v/>
      </c>
      <c r="E208" s="26">
        <f t="shared" si="39"/>
        <v>208</v>
      </c>
      <c r="F208" s="9" t="s">
        <v>109</v>
      </c>
      <c r="M208" s="26" t="s">
        <v>42</v>
      </c>
    </row>
    <row r="209" spans="2:13">
      <c r="D209" s="26" t="str">
        <f>IF(OR(F209="ID",F209="符卡",F209="對話",F209="標題"),M209,"")</f>
        <v/>
      </c>
      <c r="E209" s="26">
        <f t="shared" si="39"/>
        <v>209</v>
      </c>
      <c r="F209" s="9" t="s">
        <v>31</v>
      </c>
      <c r="G209" s="26" t="b">
        <f>MOD(B199,2)=0</f>
        <v>0</v>
      </c>
      <c r="H209" s="26" t="str">
        <f>IF(G209,$G$210,$I$210)</f>
        <v>35</v>
      </c>
      <c r="I209" s="26" t="str">
        <f>IF(G209,$H$210,$J$210)</f>
        <v>-20</v>
      </c>
      <c r="J209" s="26">
        <v>90</v>
      </c>
      <c r="L209" s="9" t="s">
        <v>156</v>
      </c>
      <c r="M209" s="26">
        <f>$J$239+H209+I209*C199</f>
        <v>105</v>
      </c>
    </row>
    <row r="210" spans="2:13">
      <c r="G210" s="9" t="s">
        <v>193</v>
      </c>
      <c r="H210" s="9" t="s">
        <v>191</v>
      </c>
      <c r="I210" s="9" t="s">
        <v>194</v>
      </c>
      <c r="J210" s="9" t="s">
        <v>230</v>
      </c>
    </row>
    <row r="211" spans="2:13">
      <c r="E211" s="26">
        <f t="shared" si="39"/>
        <v>211</v>
      </c>
      <c r="F211" s="9" t="s">
        <v>136</v>
      </c>
      <c r="M211" s="26" t="s">
        <v>203</v>
      </c>
    </row>
    <row r="212" spans="2:13">
      <c r="E212" s="26">
        <f t="shared" si="39"/>
        <v>212</v>
      </c>
      <c r="F212" s="9" t="s">
        <v>220</v>
      </c>
      <c r="M212" s="26" t="s">
        <v>215</v>
      </c>
    </row>
    <row r="213" spans="2:13">
      <c r="D213" s="26" t="str">
        <f>IF(OR(F213="ID",F213="符卡",F213="對話",F213="標題"),M213,"")</f>
        <v/>
      </c>
      <c r="E213" s="26">
        <f t="shared" si="39"/>
        <v>213</v>
      </c>
      <c r="F213" s="9" t="s">
        <v>171</v>
      </c>
      <c r="M213" s="26" t="s">
        <v>222</v>
      </c>
    </row>
    <row r="214" spans="2:13">
      <c r="B214" s="26">
        <f t="shared" ref="B214" si="40">QUOTIENT( D214-1,G215)+1</f>
        <v>1</v>
      </c>
      <c r="C214" s="26">
        <f t="shared" ref="C214" si="41">D214-(B214-1)*G215</f>
        <v>2</v>
      </c>
      <c r="D214" s="26">
        <f>COUNT($D$198:$D213)+1</f>
        <v>2</v>
      </c>
    </row>
    <row r="215" spans="2:13">
      <c r="D215" s="26" t="str">
        <f>IF(OR(F215="ID",F215="符卡",F215="對話",F215="標題"),M215,"")</f>
        <v/>
      </c>
      <c r="E215" s="26">
        <f t="shared" si="38"/>
        <v>215</v>
      </c>
      <c r="F215" s="9" t="s">
        <v>124</v>
      </c>
      <c r="G215" s="26" t="s">
        <v>22</v>
      </c>
      <c r="H215" s="26" t="s">
        <v>39</v>
      </c>
      <c r="M215" s="26">
        <f>$J$200+D214</f>
        <v>132</v>
      </c>
    </row>
    <row r="216" spans="2:13">
      <c r="E216" s="26">
        <f t="shared" si="38"/>
        <v>216</v>
      </c>
      <c r="F216" s="9" t="s">
        <v>180</v>
      </c>
      <c r="M216" s="26" t="s">
        <v>39</v>
      </c>
    </row>
    <row r="217" spans="2:13">
      <c r="E217" s="26">
        <f t="shared" si="38"/>
        <v>217</v>
      </c>
      <c r="F217" s="9" t="s">
        <v>182</v>
      </c>
      <c r="M217" s="26" t="s">
        <v>113</v>
      </c>
    </row>
    <row r="218" spans="2:13">
      <c r="E218" s="26">
        <f t="shared" si="38"/>
        <v>218</v>
      </c>
      <c r="F218" s="9" t="s">
        <v>176</v>
      </c>
      <c r="M218" s="26" t="s">
        <v>50</v>
      </c>
    </row>
    <row r="219" spans="2:13">
      <c r="E219" s="26">
        <f t="shared" si="38"/>
        <v>219</v>
      </c>
      <c r="F219" s="9" t="s">
        <v>185</v>
      </c>
      <c r="M219" s="26">
        <f>C214*4</f>
        <v>8</v>
      </c>
    </row>
    <row r="220" spans="2:13">
      <c r="D220" s="26" t="str">
        <f>IF(OR(F220="ID",F220="符卡",F220="對話",F220="標題"),M220,"")</f>
        <v/>
      </c>
      <c r="E220" s="26">
        <f t="shared" si="38"/>
        <v>220</v>
      </c>
      <c r="F220" s="9" t="s">
        <v>29</v>
      </c>
      <c r="M220" s="26" t="s">
        <v>221</v>
      </c>
    </row>
    <row r="221" spans="2:13">
      <c r="D221" s="26" t="str">
        <f>IF(OR(F221="ID",F221="符卡",F221="對話",F221="標題"),M221,"")</f>
        <v/>
      </c>
      <c r="E221" s="26">
        <f t="shared" si="38"/>
        <v>221</v>
      </c>
      <c r="F221" s="9" t="s">
        <v>112</v>
      </c>
      <c r="K221" s="9" t="s">
        <v>159</v>
      </c>
      <c r="M221" s="26" t="s">
        <v>39</v>
      </c>
    </row>
    <row r="222" spans="2:13">
      <c r="D222" s="26" t="str">
        <f>IF(OR(F222="ID",F222="符卡",F222="對話",F222="標題"),M222,"")</f>
        <v/>
      </c>
      <c r="E222" s="26">
        <f t="shared" si="38"/>
        <v>222</v>
      </c>
      <c r="F222" s="9" t="s">
        <v>186</v>
      </c>
      <c r="G222" s="26" t="b">
        <f t="shared" ref="G222" si="42">MOD(B214,2)=0</f>
        <v>0</v>
      </c>
      <c r="H222" s="26" t="s">
        <v>223</v>
      </c>
      <c r="I222" s="9" t="s">
        <v>224</v>
      </c>
      <c r="J222" s="9"/>
      <c r="K222" s="9" t="s">
        <v>158</v>
      </c>
      <c r="M222" s="26" t="str">
        <f>IF(G222,$H$207,$I$207)</f>
        <v>0.5,-0.3</v>
      </c>
    </row>
    <row r="223" spans="2:13">
      <c r="D223" s="26" t="str">
        <f>IF(OR(F223="ID",F223="符卡",F223="對話",F223="標題"),M223,"")</f>
        <v/>
      </c>
      <c r="E223" s="26">
        <f t="shared" si="38"/>
        <v>223</v>
      </c>
      <c r="F223" s="9" t="s">
        <v>30</v>
      </c>
      <c r="M223" s="26" t="s">
        <v>42</v>
      </c>
    </row>
    <row r="224" spans="2:13">
      <c r="D224" s="26" t="str">
        <f>IF(OR(F224="ID",F224="符卡",F224="對話",F224="標題"),M224,"")</f>
        <v/>
      </c>
      <c r="E224" s="26">
        <f t="shared" si="38"/>
        <v>224</v>
      </c>
      <c r="F224" s="9" t="s">
        <v>31</v>
      </c>
      <c r="G224" s="26" t="b">
        <f t="shared" ref="G224" si="43">MOD(B214,2)=0</f>
        <v>0</v>
      </c>
      <c r="H224" s="26" t="str">
        <f t="shared" ref="H224" si="44">IF(G224,$G$210,$I$210)</f>
        <v>35</v>
      </c>
      <c r="I224" s="26" t="str">
        <f t="shared" ref="I224" si="45">IF(G224,$H$210,$J$210)</f>
        <v>-20</v>
      </c>
      <c r="J224" s="26">
        <v>90</v>
      </c>
      <c r="L224" s="9" t="s">
        <v>156</v>
      </c>
      <c r="M224" s="26">
        <f>$J$239+H224+I224*C214</f>
        <v>85</v>
      </c>
    </row>
    <row r="225" spans="2:13">
      <c r="G225" s="26" t="s">
        <v>225</v>
      </c>
      <c r="H225" s="9" t="s">
        <v>55</v>
      </c>
      <c r="I225" s="9" t="s">
        <v>226</v>
      </c>
      <c r="J225" s="9" t="s">
        <v>229</v>
      </c>
    </row>
    <row r="226" spans="2:13">
      <c r="E226" s="26">
        <f t="shared" si="38"/>
        <v>226</v>
      </c>
      <c r="F226" s="9" t="s">
        <v>136</v>
      </c>
      <c r="M226" s="26" t="s">
        <v>118</v>
      </c>
    </row>
    <row r="227" spans="2:13">
      <c r="E227" s="26">
        <f t="shared" si="38"/>
        <v>227</v>
      </c>
      <c r="F227" s="9" t="s">
        <v>220</v>
      </c>
      <c r="M227" s="26" t="s">
        <v>106</v>
      </c>
    </row>
    <row r="228" spans="2:13">
      <c r="D228" s="26" t="str">
        <f>IF(OR(F228="ID",F228="符卡",F228="對話",F228="標題"),M228,"")</f>
        <v/>
      </c>
      <c r="E228" s="26">
        <f t="shared" si="38"/>
        <v>228</v>
      </c>
      <c r="F228" s="9" t="s">
        <v>127</v>
      </c>
      <c r="M228" s="26" t="s">
        <v>222</v>
      </c>
    </row>
    <row r="229" spans="2:13">
      <c r="B229" s="26">
        <f t="shared" ref="B229" si="46">QUOTIENT( D229-1,G230)+1</f>
        <v>1</v>
      </c>
      <c r="C229" s="26">
        <f t="shared" ref="C229" si="47">D229-(B229-1)*G230</f>
        <v>3</v>
      </c>
      <c r="D229" s="26">
        <f>COUNT($D$198:$D228)+1</f>
        <v>3</v>
      </c>
    </row>
    <row r="230" spans="2:13">
      <c r="D230" s="26" t="str">
        <f>IF(OR(F230="ID",F230="符卡",F230="對話",F230="標題"),M230,"")</f>
        <v/>
      </c>
      <c r="E230" s="26">
        <f t="shared" si="38"/>
        <v>230</v>
      </c>
      <c r="F230" s="9" t="s">
        <v>124</v>
      </c>
      <c r="G230" s="26" t="s">
        <v>22</v>
      </c>
      <c r="H230" s="26" t="s">
        <v>39</v>
      </c>
      <c r="M230" s="26">
        <f>$J$200+D229</f>
        <v>133</v>
      </c>
    </row>
    <row r="231" spans="2:13">
      <c r="E231" s="26">
        <f t="shared" si="38"/>
        <v>231</v>
      </c>
      <c r="F231" s="9" t="s">
        <v>180</v>
      </c>
      <c r="M231" s="26" t="s">
        <v>39</v>
      </c>
    </row>
    <row r="232" spans="2:13">
      <c r="E232" s="26">
        <f t="shared" si="38"/>
        <v>232</v>
      </c>
      <c r="F232" s="9" t="s">
        <v>182</v>
      </c>
      <c r="M232" s="26" t="s">
        <v>113</v>
      </c>
    </row>
    <row r="233" spans="2:13">
      <c r="E233" s="26">
        <f t="shared" si="38"/>
        <v>233</v>
      </c>
      <c r="F233" s="9" t="s">
        <v>176</v>
      </c>
      <c r="M233" s="26" t="s">
        <v>50</v>
      </c>
    </row>
    <row r="234" spans="2:13">
      <c r="E234" s="26">
        <f t="shared" si="38"/>
        <v>234</v>
      </c>
      <c r="F234" s="9" t="s">
        <v>185</v>
      </c>
      <c r="M234" s="26">
        <f>C229*4</f>
        <v>12</v>
      </c>
    </row>
    <row r="235" spans="2:13">
      <c r="D235" s="26" t="str">
        <f>IF(OR(F235="ID",F235="符卡",F235="對話",F235="標題"),M235,"")</f>
        <v/>
      </c>
      <c r="E235" s="26">
        <f t="shared" si="38"/>
        <v>235</v>
      </c>
      <c r="F235" s="9" t="s">
        <v>29</v>
      </c>
      <c r="M235" s="26" t="s">
        <v>221</v>
      </c>
    </row>
    <row r="236" spans="2:13">
      <c r="D236" s="26" t="str">
        <f>IF(OR(F236="ID",F236="符卡",F236="對話",F236="標題"),M236,"")</f>
        <v/>
      </c>
      <c r="E236" s="26">
        <f t="shared" si="38"/>
        <v>236</v>
      </c>
      <c r="F236" s="9" t="s">
        <v>112</v>
      </c>
      <c r="I236" s="9"/>
      <c r="J236" s="9"/>
      <c r="K236" s="9" t="s">
        <v>159</v>
      </c>
      <c r="M236" s="26" t="s">
        <v>39</v>
      </c>
    </row>
    <row r="237" spans="2:13">
      <c r="D237" s="26" t="str">
        <f>IF(OR(F237="ID",F237="符卡",F237="對話",F237="標題"),M237,"")</f>
        <v/>
      </c>
      <c r="E237" s="26">
        <f t="shared" si="38"/>
        <v>237</v>
      </c>
      <c r="F237" s="9" t="s">
        <v>186</v>
      </c>
      <c r="G237" s="26" t="b">
        <f t="shared" ref="G237" si="48">MOD(B229,2)=0</f>
        <v>0</v>
      </c>
      <c r="H237" s="26" t="s">
        <v>223</v>
      </c>
      <c r="I237" s="26" t="s">
        <v>224</v>
      </c>
      <c r="K237" s="9" t="s">
        <v>158</v>
      </c>
      <c r="M237" s="26" t="str">
        <f>IF(G237,$H$207,$I$207)</f>
        <v>0.5,-0.3</v>
      </c>
    </row>
    <row r="238" spans="2:13">
      <c r="D238" s="26" t="str">
        <f>IF(OR(F238="ID",F238="符卡",F238="對話",F238="標題"),M238,"")</f>
        <v/>
      </c>
      <c r="E238" s="26">
        <f t="shared" si="38"/>
        <v>238</v>
      </c>
      <c r="F238" s="9" t="s">
        <v>30</v>
      </c>
      <c r="M238" s="26" t="s">
        <v>42</v>
      </c>
    </row>
    <row r="239" spans="2:13">
      <c r="D239" s="26" t="str">
        <f>IF(OR(F239="ID",F239="符卡",F239="對話",F239="標題"),M239,"")</f>
        <v/>
      </c>
      <c r="E239" s="26">
        <f t="shared" si="38"/>
        <v>239</v>
      </c>
      <c r="F239" s="9" t="s">
        <v>31</v>
      </c>
      <c r="G239" s="26" t="b">
        <f t="shared" ref="G239" si="49">MOD(B229,2)=0</f>
        <v>0</v>
      </c>
      <c r="H239" s="26" t="str">
        <f t="shared" ref="H239" si="50">IF(G239,$G$210,$I$210)</f>
        <v>35</v>
      </c>
      <c r="I239" s="26" t="str">
        <f t="shared" ref="I239" si="51">IF(G239,$H$210,$J$210)</f>
        <v>-20</v>
      </c>
      <c r="J239" s="9">
        <v>90</v>
      </c>
      <c r="L239" s="9" t="s">
        <v>156</v>
      </c>
      <c r="M239" s="26">
        <f>$J$239+H239+I239*C229</f>
        <v>65</v>
      </c>
    </row>
    <row r="240" spans="2:13">
      <c r="G240" s="26" t="s">
        <v>225</v>
      </c>
      <c r="H240" s="26" t="s">
        <v>55</v>
      </c>
      <c r="I240" s="26" t="s">
        <v>226</v>
      </c>
      <c r="J240" s="26" t="s">
        <v>229</v>
      </c>
    </row>
    <row r="241" spans="2:13">
      <c r="E241" s="26">
        <f t="shared" si="38"/>
        <v>241</v>
      </c>
      <c r="F241" s="9" t="s">
        <v>136</v>
      </c>
      <c r="M241" s="26" t="s">
        <v>118</v>
      </c>
    </row>
    <row r="242" spans="2:13">
      <c r="E242" s="26">
        <f t="shared" si="38"/>
        <v>242</v>
      </c>
      <c r="F242" s="9" t="s">
        <v>220</v>
      </c>
      <c r="M242" s="26" t="s">
        <v>106</v>
      </c>
    </row>
    <row r="243" spans="2:13">
      <c r="D243" s="26" t="str">
        <f>IF(OR(F243="ID",F243="符卡",F243="對話",F243="標題"),M243,"")</f>
        <v/>
      </c>
      <c r="E243" s="26">
        <f t="shared" si="38"/>
        <v>243</v>
      </c>
      <c r="F243" s="9" t="s">
        <v>127</v>
      </c>
      <c r="M243" s="26" t="s">
        <v>222</v>
      </c>
    </row>
    <row r="244" spans="2:13">
      <c r="B244" s="26">
        <f t="shared" ref="B244" si="52">QUOTIENT( D244-1,G245)+1</f>
        <v>1</v>
      </c>
      <c r="C244" s="26">
        <f t="shared" ref="C244" si="53">D244-(B244-1)*G245</f>
        <v>4</v>
      </c>
      <c r="D244" s="26">
        <f>COUNT($D$198:$D243)+1</f>
        <v>4</v>
      </c>
    </row>
    <row r="245" spans="2:13">
      <c r="D245" s="26" t="str">
        <f>IF(OR(F245="ID",F245="符卡",F245="對話",F245="標題"),M245,"")</f>
        <v/>
      </c>
      <c r="E245" s="26">
        <f t="shared" si="38"/>
        <v>245</v>
      </c>
      <c r="F245" s="9" t="s">
        <v>124</v>
      </c>
      <c r="G245" s="26" t="s">
        <v>22</v>
      </c>
      <c r="H245" s="26" t="s">
        <v>39</v>
      </c>
      <c r="M245" s="26">
        <f>$J$200+D244</f>
        <v>134</v>
      </c>
    </row>
    <row r="246" spans="2:13">
      <c r="E246" s="26">
        <f t="shared" si="38"/>
        <v>246</v>
      </c>
      <c r="F246" s="9" t="s">
        <v>180</v>
      </c>
      <c r="M246" s="26" t="s">
        <v>39</v>
      </c>
    </row>
    <row r="247" spans="2:13">
      <c r="E247" s="26">
        <f t="shared" si="38"/>
        <v>247</v>
      </c>
      <c r="F247" s="9" t="s">
        <v>182</v>
      </c>
      <c r="M247" s="26" t="s">
        <v>113</v>
      </c>
    </row>
    <row r="248" spans="2:13">
      <c r="E248" s="26">
        <f t="shared" si="38"/>
        <v>248</v>
      </c>
      <c r="F248" s="9" t="s">
        <v>176</v>
      </c>
      <c r="M248" s="26" t="s">
        <v>50</v>
      </c>
    </row>
    <row r="249" spans="2:13">
      <c r="E249" s="26">
        <f t="shared" si="38"/>
        <v>249</v>
      </c>
      <c r="F249" s="9" t="s">
        <v>185</v>
      </c>
      <c r="M249" s="26">
        <f>C244*4</f>
        <v>16</v>
      </c>
    </row>
    <row r="250" spans="2:13">
      <c r="D250" s="26" t="str">
        <f>IF(OR(F250="ID",F250="符卡",F250="對話",F250="標題"),M250,"")</f>
        <v/>
      </c>
      <c r="E250" s="26">
        <f t="shared" si="38"/>
        <v>250</v>
      </c>
      <c r="F250" s="9" t="s">
        <v>29</v>
      </c>
      <c r="I250" s="9"/>
      <c r="J250" s="9"/>
      <c r="M250" s="26" t="s">
        <v>221</v>
      </c>
    </row>
    <row r="251" spans="2:13">
      <c r="D251" s="26" t="str">
        <f>IF(OR(F251="ID",F251="符卡",F251="對話",F251="標題"),M251,"")</f>
        <v/>
      </c>
      <c r="E251" s="26">
        <f t="shared" si="38"/>
        <v>251</v>
      </c>
      <c r="F251" s="9" t="s">
        <v>112</v>
      </c>
      <c r="K251" s="9" t="s">
        <v>159</v>
      </c>
      <c r="M251" s="26" t="s">
        <v>39</v>
      </c>
    </row>
    <row r="252" spans="2:13">
      <c r="D252" s="26" t="str">
        <f>IF(OR(F252="ID",F252="符卡",F252="對話",F252="標題"),M252,"")</f>
        <v/>
      </c>
      <c r="E252" s="26">
        <f t="shared" si="38"/>
        <v>252</v>
      </c>
      <c r="F252" s="9" t="s">
        <v>186</v>
      </c>
      <c r="G252" s="26" t="b">
        <f t="shared" ref="G252" si="54">MOD(B244,2)=0</f>
        <v>0</v>
      </c>
      <c r="H252" s="26" t="s">
        <v>223</v>
      </c>
      <c r="I252" s="26" t="s">
        <v>224</v>
      </c>
      <c r="K252" s="9" t="s">
        <v>158</v>
      </c>
      <c r="M252" s="26" t="str">
        <f>IF(G252,$H$207,$I$207)</f>
        <v>0.5,-0.3</v>
      </c>
    </row>
    <row r="253" spans="2:13">
      <c r="D253" s="26" t="str">
        <f>IF(OR(F253="ID",F253="符卡",F253="對話",F253="標題"),M253,"")</f>
        <v/>
      </c>
      <c r="E253" s="26">
        <f t="shared" si="38"/>
        <v>253</v>
      </c>
      <c r="F253" s="9" t="s">
        <v>30</v>
      </c>
      <c r="H253" s="9"/>
      <c r="I253" s="9"/>
      <c r="J253" s="9"/>
      <c r="M253" s="26" t="s">
        <v>42</v>
      </c>
    </row>
    <row r="254" spans="2:13">
      <c r="D254" s="26" t="str">
        <f>IF(OR(F254="ID",F254="符卡",F254="對話",F254="標題"),M254,"")</f>
        <v/>
      </c>
      <c r="E254" s="26">
        <f t="shared" si="38"/>
        <v>254</v>
      </c>
      <c r="F254" s="9" t="s">
        <v>31</v>
      </c>
      <c r="G254" s="26" t="b">
        <f t="shared" ref="G254" si="55">MOD(B244,2)=0</f>
        <v>0</v>
      </c>
      <c r="H254" s="26" t="str">
        <f t="shared" ref="H254" si="56">IF(G254,$G$210,$I$210)</f>
        <v>35</v>
      </c>
      <c r="I254" s="26" t="str">
        <f t="shared" ref="I254" si="57">IF(G254,$H$210,$J$210)</f>
        <v>-20</v>
      </c>
      <c r="J254" s="26">
        <v>90</v>
      </c>
      <c r="L254" s="9" t="s">
        <v>156</v>
      </c>
      <c r="M254" s="26">
        <f>$J$239+H254+I254*C244</f>
        <v>45</v>
      </c>
    </row>
    <row r="255" spans="2:13">
      <c r="G255" s="26" t="s">
        <v>225</v>
      </c>
      <c r="H255" s="26" t="s">
        <v>55</v>
      </c>
      <c r="I255" s="26" t="s">
        <v>226</v>
      </c>
      <c r="J255" s="26" t="s">
        <v>229</v>
      </c>
    </row>
    <row r="256" spans="2:13">
      <c r="E256" s="26">
        <f t="shared" si="38"/>
        <v>256</v>
      </c>
      <c r="F256" s="9" t="s">
        <v>136</v>
      </c>
      <c r="M256" s="26" t="s">
        <v>118</v>
      </c>
    </row>
    <row r="257" spans="2:13">
      <c r="E257" s="26">
        <f t="shared" si="38"/>
        <v>257</v>
      </c>
      <c r="F257" s="9" t="s">
        <v>220</v>
      </c>
      <c r="M257" s="26" t="s">
        <v>106</v>
      </c>
    </row>
    <row r="258" spans="2:13">
      <c r="D258" s="26" t="str">
        <f>IF(OR(F258="ID",F258="符卡",F258="對話",F258="標題"),M258,"")</f>
        <v/>
      </c>
      <c r="E258" s="26">
        <f t="shared" si="38"/>
        <v>258</v>
      </c>
      <c r="F258" s="9" t="s">
        <v>127</v>
      </c>
      <c r="M258" s="26" t="s">
        <v>222</v>
      </c>
    </row>
    <row r="259" spans="2:13">
      <c r="B259" s="26">
        <f t="shared" ref="B259" si="58">QUOTIENT( D259-1,G260)+1</f>
        <v>2</v>
      </c>
      <c r="C259" s="26">
        <f t="shared" ref="C259" si="59">D259-(B259-1)*G260</f>
        <v>1</v>
      </c>
      <c r="D259" s="26">
        <f>COUNT($D$198:$D258)+1</f>
        <v>5</v>
      </c>
    </row>
    <row r="260" spans="2:13">
      <c r="D260" s="26" t="str">
        <f>IF(OR(F260="ID",F260="符卡",F260="對話",F260="標題"),M260,"")</f>
        <v/>
      </c>
      <c r="E260" s="26">
        <f t="shared" si="38"/>
        <v>260</v>
      </c>
      <c r="F260" s="9" t="s">
        <v>124</v>
      </c>
      <c r="G260" s="26" t="s">
        <v>22</v>
      </c>
      <c r="H260" s="26" t="s">
        <v>39</v>
      </c>
      <c r="M260" s="26">
        <f>$J$200+D259</f>
        <v>135</v>
      </c>
    </row>
    <row r="261" spans="2:13">
      <c r="E261" s="26">
        <f t="shared" si="38"/>
        <v>261</v>
      </c>
      <c r="F261" s="9" t="s">
        <v>180</v>
      </c>
      <c r="M261" s="26" t="s">
        <v>39</v>
      </c>
    </row>
    <row r="262" spans="2:13">
      <c r="E262" s="26">
        <f t="shared" si="38"/>
        <v>262</v>
      </c>
      <c r="F262" s="9" t="s">
        <v>182</v>
      </c>
      <c r="M262" s="26" t="s">
        <v>113</v>
      </c>
    </row>
    <row r="263" spans="2:13">
      <c r="E263" s="26">
        <f t="shared" si="38"/>
        <v>263</v>
      </c>
      <c r="F263" s="9" t="s">
        <v>176</v>
      </c>
      <c r="M263" s="26" t="s">
        <v>50</v>
      </c>
    </row>
    <row r="264" spans="2:13">
      <c r="E264" s="26">
        <f t="shared" si="38"/>
        <v>264</v>
      </c>
      <c r="F264" s="9" t="s">
        <v>185</v>
      </c>
      <c r="I264" s="9"/>
      <c r="J264" s="9"/>
      <c r="M264" s="26">
        <f>C259*4</f>
        <v>4</v>
      </c>
    </row>
    <row r="265" spans="2:13">
      <c r="D265" s="26" t="str">
        <f>IF(OR(F265="ID",F265="符卡",F265="對話",F265="標題"),M265,"")</f>
        <v/>
      </c>
      <c r="E265" s="26">
        <f t="shared" si="38"/>
        <v>265</v>
      </c>
      <c r="F265" s="9" t="s">
        <v>29</v>
      </c>
      <c r="M265" s="26" t="s">
        <v>221</v>
      </c>
    </row>
    <row r="266" spans="2:13">
      <c r="D266" s="26" t="str">
        <f>IF(OR(F266="ID",F266="符卡",F266="對話",F266="標題"),M266,"")</f>
        <v/>
      </c>
      <c r="E266" s="26">
        <f t="shared" si="38"/>
        <v>266</v>
      </c>
      <c r="F266" s="9" t="s">
        <v>112</v>
      </c>
      <c r="K266" s="9" t="s">
        <v>159</v>
      </c>
      <c r="M266" s="26" t="s">
        <v>39</v>
      </c>
    </row>
    <row r="267" spans="2:13">
      <c r="D267" s="26" t="str">
        <f>IF(OR(F267="ID",F267="符卡",F267="對話",F267="標題"),M267,"")</f>
        <v/>
      </c>
      <c r="E267" s="26">
        <f t="shared" si="38"/>
        <v>267</v>
      </c>
      <c r="F267" s="9" t="s">
        <v>186</v>
      </c>
      <c r="G267" s="26" t="b">
        <f t="shared" ref="G267" si="60">MOD(B259,2)=0</f>
        <v>1</v>
      </c>
      <c r="H267" s="9" t="s">
        <v>223</v>
      </c>
      <c r="I267" s="9" t="s">
        <v>224</v>
      </c>
      <c r="J267" s="9"/>
      <c r="K267" s="9" t="s">
        <v>158</v>
      </c>
      <c r="M267" s="26" t="str">
        <f>IF(G267,$H$207,$I$207)</f>
        <v>-0.5,-0.3</v>
      </c>
    </row>
    <row r="268" spans="2:13">
      <c r="D268" s="26" t="str">
        <f>IF(OR(F268="ID",F268="符卡",F268="對話",F268="標題"),M268,"")</f>
        <v/>
      </c>
      <c r="E268" s="26">
        <f t="shared" si="38"/>
        <v>268</v>
      </c>
      <c r="F268" s="9" t="s">
        <v>30</v>
      </c>
      <c r="M268" s="26" t="s">
        <v>42</v>
      </c>
    </row>
    <row r="269" spans="2:13">
      <c r="D269" s="26" t="str">
        <f>IF(OR(F269="ID",F269="符卡",F269="對話",F269="標題"),M269,"")</f>
        <v/>
      </c>
      <c r="E269" s="26">
        <f t="shared" si="38"/>
        <v>269</v>
      </c>
      <c r="F269" s="9" t="s">
        <v>31</v>
      </c>
      <c r="G269" s="26" t="b">
        <f t="shared" ref="G269" si="61">MOD(B259,2)=0</f>
        <v>1</v>
      </c>
      <c r="H269" s="26" t="str">
        <f t="shared" ref="H269" si="62">IF(G269,$G$210,$I$210)</f>
        <v>-35</v>
      </c>
      <c r="I269" s="26" t="str">
        <f t="shared" ref="I269" si="63">IF(G269,$H$210,$J$210)</f>
        <v>20</v>
      </c>
      <c r="J269" s="26">
        <v>90</v>
      </c>
      <c r="L269" s="9" t="s">
        <v>156</v>
      </c>
      <c r="M269" s="26">
        <f>$J$239+H269+I269*C259</f>
        <v>75</v>
      </c>
    </row>
    <row r="270" spans="2:13">
      <c r="G270" s="26" t="s">
        <v>225</v>
      </c>
      <c r="H270" s="26" t="s">
        <v>55</v>
      </c>
      <c r="I270" s="26" t="s">
        <v>226</v>
      </c>
      <c r="J270" s="26" t="s">
        <v>229</v>
      </c>
    </row>
    <row r="271" spans="2:13">
      <c r="E271" s="26">
        <f t="shared" si="38"/>
        <v>271</v>
      </c>
      <c r="F271" s="9" t="s">
        <v>136</v>
      </c>
      <c r="M271" s="26" t="s">
        <v>118</v>
      </c>
    </row>
    <row r="272" spans="2:13">
      <c r="E272" s="26">
        <f t="shared" si="38"/>
        <v>272</v>
      </c>
      <c r="F272" s="9" t="s">
        <v>220</v>
      </c>
      <c r="M272" s="26" t="s">
        <v>106</v>
      </c>
    </row>
    <row r="273" spans="2:13">
      <c r="D273" s="26" t="str">
        <f>IF(OR(F273="ID",F273="符卡",F273="對話",F273="標題"),M273,"")</f>
        <v/>
      </c>
      <c r="E273" s="26">
        <f t="shared" si="38"/>
        <v>273</v>
      </c>
      <c r="F273" s="9" t="s">
        <v>127</v>
      </c>
      <c r="M273" s="26" t="s">
        <v>222</v>
      </c>
    </row>
    <row r="274" spans="2:13">
      <c r="B274" s="26">
        <f t="shared" ref="B274" si="64">QUOTIENT( D274-1,G275)+1</f>
        <v>2</v>
      </c>
      <c r="C274" s="26">
        <f t="shared" ref="C274" si="65">D274-(B274-1)*G275</f>
        <v>2</v>
      </c>
      <c r="D274" s="26">
        <f>COUNT($D$198:$D273)+1</f>
        <v>6</v>
      </c>
    </row>
    <row r="275" spans="2:13">
      <c r="D275" s="26" t="str">
        <f>IF(OR(F275="ID",F275="符卡",F275="對話",F275="標題"),M275,"")</f>
        <v/>
      </c>
      <c r="E275" s="26">
        <f t="shared" si="38"/>
        <v>275</v>
      </c>
      <c r="F275" s="9" t="s">
        <v>124</v>
      </c>
      <c r="G275" s="26" t="s">
        <v>22</v>
      </c>
      <c r="H275" s="26" t="s">
        <v>39</v>
      </c>
      <c r="M275" s="26">
        <f>$J$200+D274</f>
        <v>136</v>
      </c>
    </row>
    <row r="276" spans="2:13">
      <c r="E276" s="26">
        <f t="shared" si="38"/>
        <v>276</v>
      </c>
      <c r="F276" s="9" t="s">
        <v>180</v>
      </c>
      <c r="M276" s="26" t="s">
        <v>39</v>
      </c>
    </row>
    <row r="277" spans="2:13">
      <c r="E277" s="26">
        <f t="shared" si="38"/>
        <v>277</v>
      </c>
      <c r="F277" s="9" t="s">
        <v>182</v>
      </c>
      <c r="M277" s="26" t="s">
        <v>113</v>
      </c>
    </row>
    <row r="278" spans="2:13">
      <c r="E278" s="26">
        <f t="shared" si="38"/>
        <v>278</v>
      </c>
      <c r="F278" s="9" t="s">
        <v>176</v>
      </c>
      <c r="I278" s="9"/>
      <c r="J278" s="9"/>
      <c r="M278" s="26" t="s">
        <v>50</v>
      </c>
    </row>
    <row r="279" spans="2:13">
      <c r="E279" s="26">
        <f t="shared" si="38"/>
        <v>279</v>
      </c>
      <c r="F279" s="9" t="s">
        <v>185</v>
      </c>
      <c r="M279" s="26">
        <f>C274*4</f>
        <v>8</v>
      </c>
    </row>
    <row r="280" spans="2:13">
      <c r="D280" s="26" t="str">
        <f>IF(OR(F280="ID",F280="符卡",F280="對話",F280="標題"),M280,"")</f>
        <v/>
      </c>
      <c r="E280" s="26">
        <f t="shared" si="38"/>
        <v>280</v>
      </c>
      <c r="F280" s="9" t="s">
        <v>29</v>
      </c>
      <c r="M280" s="26" t="s">
        <v>221</v>
      </c>
    </row>
    <row r="281" spans="2:13">
      <c r="D281" s="26" t="str">
        <f>IF(OR(F281="ID",F281="符卡",F281="對話",F281="標題"),M281,"")</f>
        <v/>
      </c>
      <c r="E281" s="26">
        <f t="shared" si="38"/>
        <v>281</v>
      </c>
      <c r="F281" s="9" t="s">
        <v>112</v>
      </c>
      <c r="H281" s="9"/>
      <c r="I281" s="9"/>
      <c r="J281" s="9"/>
      <c r="K281" s="9" t="s">
        <v>159</v>
      </c>
      <c r="M281" s="26" t="s">
        <v>39</v>
      </c>
    </row>
    <row r="282" spans="2:13">
      <c r="D282" s="26" t="str">
        <f>IF(OR(F282="ID",F282="符卡",F282="對話",F282="標題"),M282,"")</f>
        <v/>
      </c>
      <c r="E282" s="26">
        <f t="shared" si="38"/>
        <v>282</v>
      </c>
      <c r="F282" s="9" t="s">
        <v>186</v>
      </c>
      <c r="G282" s="26" t="b">
        <f t="shared" ref="G282" si="66">MOD(B274,2)=0</f>
        <v>1</v>
      </c>
      <c r="H282" s="26" t="s">
        <v>223</v>
      </c>
      <c r="I282" s="26" t="s">
        <v>224</v>
      </c>
      <c r="K282" s="9" t="s">
        <v>158</v>
      </c>
      <c r="M282" s="26" t="str">
        <f>IF(G282,$H$207,$I$207)</f>
        <v>-0.5,-0.3</v>
      </c>
    </row>
    <row r="283" spans="2:13">
      <c r="D283" s="26" t="str">
        <f>IF(OR(F283="ID",F283="符卡",F283="對話",F283="標題"),M283,"")</f>
        <v/>
      </c>
      <c r="E283" s="26">
        <f t="shared" si="38"/>
        <v>283</v>
      </c>
      <c r="F283" s="9" t="s">
        <v>30</v>
      </c>
      <c r="M283" s="26" t="s">
        <v>42</v>
      </c>
    </row>
    <row r="284" spans="2:13">
      <c r="D284" s="26" t="str">
        <f>IF(OR(F284="ID",F284="符卡",F284="對話",F284="標題"),M284,"")</f>
        <v/>
      </c>
      <c r="E284" s="26">
        <f t="shared" si="38"/>
        <v>284</v>
      </c>
      <c r="F284" s="9" t="s">
        <v>31</v>
      </c>
      <c r="G284" s="26" t="b">
        <f t="shared" ref="G284" si="67">MOD(B274,2)=0</f>
        <v>1</v>
      </c>
      <c r="H284" s="26" t="str">
        <f t="shared" ref="H284" si="68">IF(G284,$G$210,$I$210)</f>
        <v>-35</v>
      </c>
      <c r="I284" s="26" t="str">
        <f t="shared" ref="I284" si="69">IF(G284,$H$210,$J$210)</f>
        <v>20</v>
      </c>
      <c r="J284" s="26">
        <v>90</v>
      </c>
      <c r="L284" s="9" t="s">
        <v>156</v>
      </c>
      <c r="M284" s="26">
        <f>$J$239+H284+I284*C274</f>
        <v>95</v>
      </c>
    </row>
    <row r="285" spans="2:13">
      <c r="G285" s="26" t="s">
        <v>225</v>
      </c>
      <c r="H285" s="26" t="s">
        <v>55</v>
      </c>
      <c r="I285" s="26" t="s">
        <v>226</v>
      </c>
      <c r="J285" s="26" t="s">
        <v>229</v>
      </c>
    </row>
    <row r="286" spans="2:13">
      <c r="E286" s="26">
        <f t="shared" si="38"/>
        <v>286</v>
      </c>
      <c r="F286" s="9" t="s">
        <v>136</v>
      </c>
      <c r="M286" s="26" t="s">
        <v>118</v>
      </c>
    </row>
    <row r="287" spans="2:13">
      <c r="E287" s="26">
        <f t="shared" si="38"/>
        <v>287</v>
      </c>
      <c r="F287" s="9" t="s">
        <v>220</v>
      </c>
      <c r="M287" s="26" t="s">
        <v>106</v>
      </c>
    </row>
    <row r="288" spans="2:13">
      <c r="D288" s="26" t="str">
        <f>IF(OR(F288="ID",F288="符卡",F288="對話",F288="標題"),M288,"")</f>
        <v/>
      </c>
      <c r="E288" s="26">
        <f t="shared" ref="E288:E318" si="70">ROW(E288)</f>
        <v>288</v>
      </c>
      <c r="F288" s="9" t="s">
        <v>127</v>
      </c>
      <c r="M288" s="26" t="s">
        <v>222</v>
      </c>
    </row>
    <row r="289" spans="2:13">
      <c r="B289" s="26">
        <f t="shared" ref="B289" si="71">QUOTIENT( D289-1,G290)+1</f>
        <v>2</v>
      </c>
      <c r="C289" s="26">
        <f t="shared" ref="C289" si="72">D289-(B289-1)*G290</f>
        <v>3</v>
      </c>
      <c r="D289" s="26">
        <f>COUNT($D$198:$D288)+1</f>
        <v>7</v>
      </c>
    </row>
    <row r="290" spans="2:13">
      <c r="D290" s="26" t="str">
        <f>IF(OR(F290="ID",F290="符卡",F290="對話",F290="標題"),M290,"")</f>
        <v/>
      </c>
      <c r="E290" s="26">
        <f t="shared" ref="E290:E309" si="73">ROW(E290)</f>
        <v>290</v>
      </c>
      <c r="F290" s="9" t="s">
        <v>124</v>
      </c>
      <c r="G290" s="26" t="s">
        <v>22</v>
      </c>
      <c r="H290" s="26" t="s">
        <v>39</v>
      </c>
      <c r="M290" s="26">
        <f>$J$200+D289</f>
        <v>137</v>
      </c>
    </row>
    <row r="291" spans="2:13">
      <c r="E291" s="26">
        <f t="shared" si="73"/>
        <v>291</v>
      </c>
      <c r="F291" s="9" t="s">
        <v>180</v>
      </c>
      <c r="M291" s="26" t="s">
        <v>39</v>
      </c>
    </row>
    <row r="292" spans="2:13">
      <c r="E292" s="26">
        <f t="shared" si="73"/>
        <v>292</v>
      </c>
      <c r="F292" s="9" t="s">
        <v>182</v>
      </c>
      <c r="I292" s="9"/>
      <c r="J292" s="9"/>
      <c r="M292" s="26" t="s">
        <v>113</v>
      </c>
    </row>
    <row r="293" spans="2:13">
      <c r="E293" s="26">
        <f t="shared" si="73"/>
        <v>293</v>
      </c>
      <c r="F293" s="9" t="s">
        <v>176</v>
      </c>
      <c r="M293" s="26" t="s">
        <v>50</v>
      </c>
    </row>
    <row r="294" spans="2:13">
      <c r="E294" s="26">
        <f t="shared" si="73"/>
        <v>294</v>
      </c>
      <c r="F294" s="9" t="s">
        <v>185</v>
      </c>
      <c r="M294" s="26">
        <f>C289*4</f>
        <v>12</v>
      </c>
    </row>
    <row r="295" spans="2:13">
      <c r="D295" s="26" t="str">
        <f>IF(OR(F295="ID",F295="符卡",F295="對話",F295="標題"),M295,"")</f>
        <v/>
      </c>
      <c r="E295" s="26">
        <f t="shared" si="70"/>
        <v>295</v>
      </c>
      <c r="F295" s="9" t="s">
        <v>29</v>
      </c>
      <c r="H295" s="9"/>
      <c r="I295" s="9"/>
      <c r="J295" s="9"/>
      <c r="M295" s="26" t="s">
        <v>221</v>
      </c>
    </row>
    <row r="296" spans="2:13">
      <c r="D296" s="26" t="str">
        <f>IF(OR(F296="ID",F296="符卡",F296="對話",F296="標題"),M296,"")</f>
        <v/>
      </c>
      <c r="E296" s="26">
        <f t="shared" si="70"/>
        <v>296</v>
      </c>
      <c r="F296" s="9" t="s">
        <v>112</v>
      </c>
      <c r="K296" s="9" t="s">
        <v>159</v>
      </c>
      <c r="M296" s="26" t="s">
        <v>39</v>
      </c>
    </row>
    <row r="297" spans="2:13">
      <c r="D297" s="26" t="str">
        <f>IF(OR(F297="ID",F297="符卡",F297="對話",F297="標題"),M297,"")</f>
        <v/>
      </c>
      <c r="E297" s="26">
        <f t="shared" si="70"/>
        <v>297</v>
      </c>
      <c r="F297" s="9" t="s">
        <v>186</v>
      </c>
      <c r="G297" s="26" t="b">
        <f t="shared" ref="G297" si="74">MOD(B289,2)=0</f>
        <v>1</v>
      </c>
      <c r="H297" s="26" t="s">
        <v>223</v>
      </c>
      <c r="I297" s="26" t="s">
        <v>224</v>
      </c>
      <c r="K297" s="9" t="s">
        <v>158</v>
      </c>
      <c r="M297" s="26" t="str">
        <f>IF(G297,$H$207,$I$207)</f>
        <v>-0.5,-0.3</v>
      </c>
    </row>
    <row r="298" spans="2:13">
      <c r="D298" s="26" t="str">
        <f>IF(OR(F298="ID",F298="符卡",F298="對話",F298="標題"),M298,"")</f>
        <v/>
      </c>
      <c r="E298" s="26">
        <f t="shared" si="70"/>
        <v>298</v>
      </c>
      <c r="F298" s="9" t="s">
        <v>30</v>
      </c>
      <c r="M298" s="26" t="s">
        <v>42</v>
      </c>
    </row>
    <row r="299" spans="2:13">
      <c r="D299" s="26" t="str">
        <f>IF(OR(F299="ID",F299="符卡",F299="對話",F299="標題"),M299,"")</f>
        <v/>
      </c>
      <c r="E299" s="26">
        <f t="shared" si="70"/>
        <v>299</v>
      </c>
      <c r="F299" s="9" t="s">
        <v>31</v>
      </c>
      <c r="G299" s="26" t="b">
        <f t="shared" ref="G299" si="75">MOD(B289,2)=0</f>
        <v>1</v>
      </c>
      <c r="H299" s="26" t="str">
        <f t="shared" ref="H299" si="76">IF(G299,$G$210,$I$210)</f>
        <v>-35</v>
      </c>
      <c r="I299" s="26" t="str">
        <f t="shared" ref="I299" si="77">IF(G299,$H$210,$J$210)</f>
        <v>20</v>
      </c>
      <c r="J299" s="26">
        <v>90</v>
      </c>
      <c r="L299" s="9" t="s">
        <v>156</v>
      </c>
      <c r="M299" s="26">
        <f>$J$239+H299+I299*C289</f>
        <v>115</v>
      </c>
    </row>
    <row r="300" spans="2:13">
      <c r="G300" s="26" t="s">
        <v>225</v>
      </c>
      <c r="H300" s="26" t="s">
        <v>55</v>
      </c>
      <c r="I300" s="26" t="s">
        <v>226</v>
      </c>
      <c r="J300" s="26" t="s">
        <v>229</v>
      </c>
    </row>
    <row r="301" spans="2:13">
      <c r="E301" s="26">
        <f t="shared" si="70"/>
        <v>301</v>
      </c>
      <c r="F301" s="9" t="s">
        <v>136</v>
      </c>
      <c r="M301" s="26" t="s">
        <v>118</v>
      </c>
    </row>
    <row r="302" spans="2:13">
      <c r="E302" s="26">
        <f t="shared" si="70"/>
        <v>302</v>
      </c>
      <c r="F302" s="9" t="s">
        <v>220</v>
      </c>
      <c r="M302" s="26" t="s">
        <v>106</v>
      </c>
    </row>
    <row r="303" spans="2:13">
      <c r="D303" s="26" t="str">
        <f>IF(OR(F303="ID",F303="符卡",F303="對話",F303="標題"),M303,"")</f>
        <v/>
      </c>
      <c r="E303" s="26">
        <f t="shared" si="70"/>
        <v>303</v>
      </c>
      <c r="F303" s="9" t="s">
        <v>127</v>
      </c>
      <c r="M303" s="26" t="s">
        <v>222</v>
      </c>
    </row>
    <row r="304" spans="2:13">
      <c r="B304" s="26">
        <f t="shared" ref="B304" si="78">QUOTIENT( D304-1,G305)+1</f>
        <v>2</v>
      </c>
      <c r="C304" s="26">
        <f t="shared" ref="C304" si="79">D304-(B304-1)*G305</f>
        <v>4</v>
      </c>
      <c r="D304" s="26">
        <f>COUNT($D$198:$D303)+1</f>
        <v>8</v>
      </c>
    </row>
    <row r="305" spans="4:13">
      <c r="D305" s="26" t="str">
        <f>IF(OR(F305="ID",F305="符卡",F305="對話",F305="標題"),M305,"")</f>
        <v/>
      </c>
      <c r="E305" s="26">
        <f t="shared" si="73"/>
        <v>305</v>
      </c>
      <c r="F305" s="9" t="s">
        <v>124</v>
      </c>
      <c r="G305" s="26" t="s">
        <v>22</v>
      </c>
      <c r="H305" s="26" t="s">
        <v>39</v>
      </c>
      <c r="M305" s="26">
        <f>$J$200+D304</f>
        <v>138</v>
      </c>
    </row>
    <row r="306" spans="4:13">
      <c r="E306" s="26">
        <f t="shared" si="73"/>
        <v>306</v>
      </c>
      <c r="F306" s="9" t="s">
        <v>180</v>
      </c>
      <c r="I306" s="9"/>
      <c r="J306" s="9"/>
      <c r="M306" s="26" t="s">
        <v>39</v>
      </c>
    </row>
    <row r="307" spans="4:13">
      <c r="E307" s="26">
        <f t="shared" si="73"/>
        <v>307</v>
      </c>
      <c r="F307" s="9" t="s">
        <v>182</v>
      </c>
      <c r="M307" s="26" t="s">
        <v>113</v>
      </c>
    </row>
    <row r="308" spans="4:13">
      <c r="E308" s="26">
        <f t="shared" si="73"/>
        <v>308</v>
      </c>
      <c r="F308" s="9" t="s">
        <v>176</v>
      </c>
      <c r="M308" s="26" t="s">
        <v>50</v>
      </c>
    </row>
    <row r="309" spans="4:13">
      <c r="E309" s="26">
        <f t="shared" si="73"/>
        <v>309</v>
      </c>
      <c r="F309" s="9" t="s">
        <v>185</v>
      </c>
      <c r="H309" s="9"/>
      <c r="I309" s="9"/>
      <c r="J309" s="9"/>
      <c r="M309" s="26">
        <f>C304*4</f>
        <v>16</v>
      </c>
    </row>
    <row r="310" spans="4:13">
      <c r="D310" s="26" t="str">
        <f>IF(OR(F310="ID",F310="符卡",F310="對話",F310="標題"),M310,"")</f>
        <v/>
      </c>
      <c r="E310" s="26">
        <f t="shared" si="70"/>
        <v>310</v>
      </c>
      <c r="F310" s="9" t="s">
        <v>29</v>
      </c>
      <c r="M310" s="26" t="s">
        <v>221</v>
      </c>
    </row>
    <row r="311" spans="4:13">
      <c r="D311" s="26" t="str">
        <f>IF(OR(F311="ID",F311="符卡",F311="對話",F311="標題"),M311,"")</f>
        <v/>
      </c>
      <c r="E311" s="26">
        <f t="shared" si="70"/>
        <v>311</v>
      </c>
      <c r="F311" s="9" t="s">
        <v>112</v>
      </c>
      <c r="K311" s="9" t="s">
        <v>159</v>
      </c>
      <c r="M311" s="26" t="s">
        <v>39</v>
      </c>
    </row>
    <row r="312" spans="4:13">
      <c r="D312" s="26" t="str">
        <f>IF(OR(F312="ID",F312="符卡",F312="對話",F312="標題"),M312,"")</f>
        <v/>
      </c>
      <c r="E312" s="26">
        <f t="shared" si="70"/>
        <v>312</v>
      </c>
      <c r="F312" s="9" t="s">
        <v>186</v>
      </c>
      <c r="G312" s="26" t="b">
        <f t="shared" ref="G312" si="80">MOD(B304,2)=0</f>
        <v>1</v>
      </c>
      <c r="H312" s="26" t="s">
        <v>223</v>
      </c>
      <c r="I312" s="26" t="s">
        <v>224</v>
      </c>
      <c r="K312" s="9" t="s">
        <v>158</v>
      </c>
      <c r="M312" s="26" t="str">
        <f>IF(G312,$H$207,$I$207)</f>
        <v>-0.5,-0.3</v>
      </c>
    </row>
    <row r="313" spans="4:13">
      <c r="D313" s="26" t="str">
        <f>IF(OR(F313="ID",F313="符卡",F313="對話",F313="標題"),M313,"")</f>
        <v/>
      </c>
      <c r="E313" s="26">
        <f t="shared" si="70"/>
        <v>313</v>
      </c>
      <c r="F313" s="9" t="s">
        <v>30</v>
      </c>
      <c r="M313" s="26" t="s">
        <v>42</v>
      </c>
    </row>
    <row r="314" spans="4:13">
      <c r="D314" s="26" t="str">
        <f>IF(OR(F314="ID",F314="符卡",F314="對話",F314="標題"),M314,"")</f>
        <v/>
      </c>
      <c r="E314" s="26">
        <f t="shared" si="70"/>
        <v>314</v>
      </c>
      <c r="F314" s="9" t="s">
        <v>31</v>
      </c>
      <c r="G314" s="26" t="b">
        <f t="shared" ref="G314" si="81">MOD(B304,2)=0</f>
        <v>1</v>
      </c>
      <c r="H314" s="26" t="str">
        <f t="shared" ref="H314" si="82">IF(G314,$G$210,$I$210)</f>
        <v>-35</v>
      </c>
      <c r="I314" s="26" t="str">
        <f t="shared" ref="I314" si="83">IF(G314,$H$210,$J$210)</f>
        <v>20</v>
      </c>
      <c r="J314" s="26">
        <v>90</v>
      </c>
      <c r="L314" s="9" t="s">
        <v>156</v>
      </c>
      <c r="M314" s="26">
        <f>$J$239+H314+I314*C304</f>
        <v>135</v>
      </c>
    </row>
    <row r="315" spans="4:13">
      <c r="G315" s="26" t="s">
        <v>225</v>
      </c>
      <c r="H315" s="26" t="s">
        <v>55</v>
      </c>
      <c r="I315" s="26" t="s">
        <v>226</v>
      </c>
      <c r="J315" s="26" t="s">
        <v>229</v>
      </c>
    </row>
    <row r="316" spans="4:13">
      <c r="E316" s="26">
        <f t="shared" si="70"/>
        <v>316</v>
      </c>
      <c r="F316" s="9" t="s">
        <v>136</v>
      </c>
      <c r="M316" s="26" t="s">
        <v>118</v>
      </c>
    </row>
    <row r="317" spans="4:13">
      <c r="E317" s="26">
        <f t="shared" si="70"/>
        <v>317</v>
      </c>
      <c r="F317" s="9" t="s">
        <v>220</v>
      </c>
      <c r="M317" s="26" t="s">
        <v>106</v>
      </c>
    </row>
    <row r="318" spans="4:13">
      <c r="D318" s="26" t="str">
        <f>IF(OR(F318="ID",F318="符卡",F318="對話",F318="標題"),M318,"")</f>
        <v/>
      </c>
      <c r="E318" s="26">
        <f t="shared" si="70"/>
        <v>318</v>
      </c>
      <c r="F318" s="9" t="s">
        <v>127</v>
      </c>
      <c r="M318" s="26" t="s">
        <v>222</v>
      </c>
    </row>
    <row r="324" spans="1:60" s="30" customFormat="1">
      <c r="A324" s="26"/>
      <c r="B324" s="26" t="s">
        <v>196</v>
      </c>
      <c r="C324" s="26"/>
      <c r="D324" s="29"/>
      <c r="E324" s="26"/>
      <c r="G324" s="29"/>
      <c r="H324" s="29"/>
      <c r="I324" s="29"/>
      <c r="J324" s="29"/>
      <c r="M324" s="26"/>
      <c r="S324" s="31"/>
      <c r="V324" s="31"/>
      <c r="W324" s="31"/>
      <c r="X324" s="31"/>
      <c r="Y324" s="32"/>
      <c r="Z324" s="32"/>
      <c r="AA324" s="32"/>
      <c r="AB324" s="32"/>
      <c r="AC324" s="32"/>
      <c r="AD324" s="32"/>
      <c r="AE324" s="32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</row>
    <row r="327" spans="1:60">
      <c r="M327" s="9"/>
    </row>
    <row r="328" spans="1:60">
      <c r="A328" s="26">
        <f>G330*H330</f>
        <v>16</v>
      </c>
      <c r="D328" s="9"/>
    </row>
    <row r="329" spans="1:60">
      <c r="B329" s="26">
        <f>QUOTIENT( D329-1,G330)+1</f>
        <v>1</v>
      </c>
      <c r="C329" s="26">
        <f>D329-(B329-1)*G330</f>
        <v>1</v>
      </c>
      <c r="D329" s="26">
        <f>COUNT($D$328:$D328)+1</f>
        <v>1</v>
      </c>
    </row>
    <row r="330" spans="1:60">
      <c r="D330" s="26" t="str">
        <f>IF(OR(F330="ID",F330="符卡",F330="對話",F330="標題"),M330,"")</f>
        <v/>
      </c>
      <c r="E330" s="26">
        <f t="shared" ref="E330:E339" si="84">ROW(E330)</f>
        <v>330</v>
      </c>
      <c r="F330" s="9" t="s">
        <v>124</v>
      </c>
      <c r="G330" s="26">
        <v>8</v>
      </c>
      <c r="H330" s="26">
        <v>2</v>
      </c>
      <c r="J330" s="26" t="s">
        <v>202</v>
      </c>
      <c r="M330" s="26">
        <f>$J$330+D329</f>
        <v>151</v>
      </c>
    </row>
    <row r="331" spans="1:60">
      <c r="E331" s="26">
        <f t="shared" si="84"/>
        <v>331</v>
      </c>
      <c r="F331" s="9" t="s">
        <v>180</v>
      </c>
      <c r="M331" s="26" t="s">
        <v>40</v>
      </c>
    </row>
    <row r="332" spans="1:60">
      <c r="E332" s="26">
        <f t="shared" si="84"/>
        <v>332</v>
      </c>
      <c r="F332" s="9" t="s">
        <v>182</v>
      </c>
      <c r="M332" s="26" t="s">
        <v>113</v>
      </c>
    </row>
    <row r="333" spans="1:60">
      <c r="E333" s="26">
        <f t="shared" si="84"/>
        <v>333</v>
      </c>
      <c r="F333" s="9" t="s">
        <v>176</v>
      </c>
      <c r="M333" s="26" t="s">
        <v>50</v>
      </c>
    </row>
    <row r="334" spans="1:60">
      <c r="E334" s="26">
        <f t="shared" si="84"/>
        <v>334</v>
      </c>
      <c r="F334" s="9" t="s">
        <v>185</v>
      </c>
      <c r="M334" s="26">
        <f>C329*3</f>
        <v>3</v>
      </c>
    </row>
    <row r="335" spans="1:60">
      <c r="D335" s="26" t="str">
        <f>IF(OR(F335="ID",F335="符卡",F335="對話",F335="標題"),M335,"")</f>
        <v/>
      </c>
      <c r="E335" s="26">
        <f t="shared" si="84"/>
        <v>335</v>
      </c>
      <c r="F335" s="9" t="s">
        <v>104</v>
      </c>
      <c r="M335" s="26" t="s">
        <v>221</v>
      </c>
    </row>
    <row r="336" spans="1:60">
      <c r="D336" s="26" t="str">
        <f>IF(OR(F336="ID",F336="符卡",F336="對話",F336="標題"),M336,"")</f>
        <v/>
      </c>
      <c r="E336" s="26">
        <f t="shared" si="84"/>
        <v>336</v>
      </c>
      <c r="F336" s="9" t="s">
        <v>112</v>
      </c>
      <c r="K336" s="9" t="s">
        <v>159</v>
      </c>
      <c r="M336" s="26" t="s">
        <v>39</v>
      </c>
    </row>
    <row r="337" spans="2:13">
      <c r="D337" s="26" t="str">
        <f>IF(OR(F337="ID",F337="符卡",F337="對話",F337="標題"),M337,"")</f>
        <v/>
      </c>
      <c r="E337" s="26">
        <f t="shared" si="84"/>
        <v>337</v>
      </c>
      <c r="F337" s="9" t="s">
        <v>186</v>
      </c>
      <c r="G337" s="26" t="b">
        <f>MOD(B329,2)=0</f>
        <v>0</v>
      </c>
      <c r="H337" s="26" t="s">
        <v>189</v>
      </c>
      <c r="I337" s="9" t="s">
        <v>187</v>
      </c>
      <c r="J337" s="9"/>
      <c r="K337" s="9" t="s">
        <v>158</v>
      </c>
      <c r="M337" s="26" t="str">
        <f>IF(G337,$H$337,$I$337)</f>
        <v>0.5,-0.3</v>
      </c>
    </row>
    <row r="338" spans="2:13">
      <c r="D338" s="26" t="str">
        <f>IF(OR(F338="ID",F338="符卡",F338="對話",F338="標題"),M338,"")</f>
        <v/>
      </c>
      <c r="E338" s="26">
        <f t="shared" si="84"/>
        <v>338</v>
      </c>
      <c r="F338" s="9" t="s">
        <v>109</v>
      </c>
      <c r="M338" s="26" t="s">
        <v>42</v>
      </c>
    </row>
    <row r="339" spans="2:13">
      <c r="D339" s="26" t="str">
        <f>IF(OR(F339="ID",F339="符卡",F339="對話",F339="標題"),M339,"")</f>
        <v/>
      </c>
      <c r="E339" s="26">
        <f t="shared" si="84"/>
        <v>339</v>
      </c>
      <c r="F339" s="9" t="s">
        <v>31</v>
      </c>
      <c r="G339" s="26" t="b">
        <f>MOD(B329,2)=0</f>
        <v>0</v>
      </c>
      <c r="H339" s="26" t="str">
        <f>IF(G339,$G$340,$I$340)</f>
        <v>35</v>
      </c>
      <c r="I339" s="26" t="str">
        <f>IF(G339,$H$340,J340)</f>
        <v>-10</v>
      </c>
      <c r="J339" s="26">
        <v>90</v>
      </c>
      <c r="L339" s="9" t="s">
        <v>156</v>
      </c>
      <c r="M339" s="26">
        <f>J339+H339+I339*C329</f>
        <v>115</v>
      </c>
    </row>
    <row r="340" spans="2:13">
      <c r="G340" s="9" t="s">
        <v>193</v>
      </c>
      <c r="H340" s="9" t="s">
        <v>201</v>
      </c>
      <c r="I340" s="9" t="s">
        <v>194</v>
      </c>
      <c r="J340" s="9" t="s">
        <v>305</v>
      </c>
    </row>
    <row r="341" spans="2:13">
      <c r="E341" s="26">
        <f t="shared" ref="E341:E342" si="85">ROW(E341)</f>
        <v>341</v>
      </c>
      <c r="F341" s="9" t="s">
        <v>136</v>
      </c>
      <c r="M341" s="26" t="s">
        <v>203</v>
      </c>
    </row>
    <row r="342" spans="2:13">
      <c r="E342" s="26">
        <f t="shared" si="85"/>
        <v>342</v>
      </c>
      <c r="F342" s="9" t="s">
        <v>220</v>
      </c>
      <c r="M342" s="26" t="s">
        <v>106</v>
      </c>
    </row>
    <row r="343" spans="2:13">
      <c r="D343" s="26" t="str">
        <f>IF(OR(F343="ID",F343="符卡",F343="對話",F343="標題"),M343,"")</f>
        <v/>
      </c>
      <c r="E343" s="26">
        <f>ROW(E343)</f>
        <v>343</v>
      </c>
      <c r="F343" s="9" t="s">
        <v>171</v>
      </c>
      <c r="M343" s="26" t="s">
        <v>222</v>
      </c>
    </row>
    <row r="344" spans="2:13">
      <c r="B344" s="26">
        <f t="shared" ref="B344" si="86">QUOTIENT( D344-1,G345)+1</f>
        <v>1</v>
      </c>
      <c r="C344" s="26">
        <f t="shared" ref="C344" si="87">D344-(B344-1)*G345</f>
        <v>2</v>
      </c>
      <c r="D344" s="26">
        <f>COUNT($D$328:$D343)+1</f>
        <v>2</v>
      </c>
    </row>
    <row r="345" spans="2:13">
      <c r="D345" s="26" t="str">
        <f t="shared" ref="D345" si="88">IF(OR(F345="ID",F345="符卡",F345="對話",F345="標題"),M345,"")</f>
        <v/>
      </c>
      <c r="E345" s="26">
        <f t="shared" ref="E345:E408" si="89">ROW(E345)</f>
        <v>345</v>
      </c>
      <c r="F345" s="9" t="s">
        <v>124</v>
      </c>
      <c r="G345" s="26">
        <v>8</v>
      </c>
      <c r="H345" s="26">
        <v>2</v>
      </c>
      <c r="J345" s="26" t="s">
        <v>306</v>
      </c>
      <c r="M345" s="26">
        <f t="shared" ref="M345" si="90">$J$330+D344</f>
        <v>152</v>
      </c>
    </row>
    <row r="346" spans="2:13">
      <c r="E346" s="26">
        <f t="shared" si="89"/>
        <v>346</v>
      </c>
      <c r="F346" s="9" t="s">
        <v>180</v>
      </c>
      <c r="M346" s="26" t="s">
        <v>40</v>
      </c>
    </row>
    <row r="347" spans="2:13">
      <c r="E347" s="26">
        <f t="shared" si="89"/>
        <v>347</v>
      </c>
      <c r="F347" s="9" t="s">
        <v>182</v>
      </c>
      <c r="M347" s="26" t="s">
        <v>113</v>
      </c>
    </row>
    <row r="348" spans="2:13">
      <c r="E348" s="26">
        <f t="shared" si="89"/>
        <v>348</v>
      </c>
      <c r="F348" s="9" t="s">
        <v>176</v>
      </c>
      <c r="M348" s="26" t="s">
        <v>50</v>
      </c>
    </row>
    <row r="349" spans="2:13">
      <c r="E349" s="26">
        <f t="shared" si="89"/>
        <v>349</v>
      </c>
      <c r="F349" s="9" t="s">
        <v>185</v>
      </c>
      <c r="M349" s="26">
        <f t="shared" ref="M349" si="91">C344*3</f>
        <v>6</v>
      </c>
    </row>
    <row r="350" spans="2:13">
      <c r="D350" s="26" t="str">
        <f t="shared" ref="D350:D354" si="92">IF(OR(F350="ID",F350="符卡",F350="對話",F350="標題"),M350,"")</f>
        <v/>
      </c>
      <c r="E350" s="26">
        <f t="shared" si="89"/>
        <v>350</v>
      </c>
      <c r="F350" s="9" t="s">
        <v>29</v>
      </c>
      <c r="M350" s="26" t="s">
        <v>221</v>
      </c>
    </row>
    <row r="351" spans="2:13">
      <c r="D351" s="26" t="str">
        <f t="shared" si="92"/>
        <v/>
      </c>
      <c r="E351" s="26">
        <f t="shared" si="89"/>
        <v>351</v>
      </c>
      <c r="F351" s="9" t="s">
        <v>112</v>
      </c>
      <c r="K351" s="9" t="s">
        <v>159</v>
      </c>
      <c r="M351" s="26" t="s">
        <v>39</v>
      </c>
    </row>
    <row r="352" spans="2:13">
      <c r="D352" s="26" t="str">
        <f t="shared" si="92"/>
        <v/>
      </c>
      <c r="E352" s="26">
        <f t="shared" si="89"/>
        <v>352</v>
      </c>
      <c r="F352" s="9" t="s">
        <v>186</v>
      </c>
      <c r="G352" s="26" t="b">
        <f t="shared" ref="G352" si="93">MOD(B344,2)=0</f>
        <v>0</v>
      </c>
      <c r="H352" s="26" t="s">
        <v>223</v>
      </c>
      <c r="I352" s="26" t="s">
        <v>224</v>
      </c>
      <c r="K352" s="9" t="s">
        <v>158</v>
      </c>
      <c r="M352" s="26" t="str">
        <f t="shared" ref="M352" si="94">IF(G352,$H$337,$I$337)</f>
        <v>0.5,-0.3</v>
      </c>
    </row>
    <row r="353" spans="2:13">
      <c r="D353" s="26" t="str">
        <f t="shared" si="92"/>
        <v/>
      </c>
      <c r="E353" s="26">
        <f t="shared" si="89"/>
        <v>353</v>
      </c>
      <c r="F353" s="9" t="s">
        <v>30</v>
      </c>
      <c r="M353" s="26" t="s">
        <v>42</v>
      </c>
    </row>
    <row r="354" spans="2:13">
      <c r="D354" s="26" t="str">
        <f t="shared" si="92"/>
        <v/>
      </c>
      <c r="E354" s="26">
        <f t="shared" si="89"/>
        <v>354</v>
      </c>
      <c r="F354" s="9" t="s">
        <v>31</v>
      </c>
      <c r="G354" s="26" t="b">
        <f t="shared" ref="G354" si="95">MOD(B344,2)=0</f>
        <v>0</v>
      </c>
      <c r="H354" s="26" t="str">
        <f t="shared" ref="H354" si="96">IF(G354,$G$340,$I$340)</f>
        <v>35</v>
      </c>
      <c r="I354" s="26" t="str">
        <f t="shared" ref="I354" si="97">IF(G354,$H$340,J355)</f>
        <v>-10</v>
      </c>
      <c r="J354" s="26">
        <v>90</v>
      </c>
      <c r="L354" s="9" t="s">
        <v>156</v>
      </c>
      <c r="M354" s="26">
        <f t="shared" ref="M354" si="98">J354+H354+I354*C344</f>
        <v>105</v>
      </c>
    </row>
    <row r="355" spans="2:13">
      <c r="G355" s="26" t="s">
        <v>225</v>
      </c>
      <c r="H355" s="26" t="s">
        <v>34</v>
      </c>
      <c r="I355" s="26" t="s">
        <v>226</v>
      </c>
      <c r="J355" s="26" t="s">
        <v>227</v>
      </c>
    </row>
    <row r="356" spans="2:13">
      <c r="E356" s="26">
        <f t="shared" ref="E356:E418" si="99">ROW(E356)</f>
        <v>356</v>
      </c>
      <c r="F356" s="9" t="s">
        <v>136</v>
      </c>
      <c r="M356" s="26" t="s">
        <v>118</v>
      </c>
    </row>
    <row r="357" spans="2:13">
      <c r="E357" s="26">
        <f t="shared" si="99"/>
        <v>357</v>
      </c>
      <c r="F357" s="9" t="s">
        <v>220</v>
      </c>
      <c r="M357" s="26" t="s">
        <v>106</v>
      </c>
    </row>
    <row r="358" spans="2:13">
      <c r="D358" s="26" t="str">
        <f t="shared" ref="D358" si="100">IF(OR(F358="ID",F358="符卡",F358="對話",F358="標題"),M358,"")</f>
        <v/>
      </c>
      <c r="E358" s="26">
        <f t="shared" si="99"/>
        <v>358</v>
      </c>
      <c r="F358" s="9" t="s">
        <v>127</v>
      </c>
      <c r="M358" s="26" t="s">
        <v>222</v>
      </c>
    </row>
    <row r="359" spans="2:13">
      <c r="B359" s="26">
        <f t="shared" ref="B359" si="101">QUOTIENT( D359-1,G360)+1</f>
        <v>1</v>
      </c>
      <c r="C359" s="26">
        <f t="shared" ref="C359" si="102">D359-(B359-1)*G360</f>
        <v>3</v>
      </c>
      <c r="D359" s="26">
        <f>COUNT($D$328:$D358)+1</f>
        <v>3</v>
      </c>
    </row>
    <row r="360" spans="2:13">
      <c r="D360" s="26" t="str">
        <f t="shared" ref="D360" si="103">IF(OR(F360="ID",F360="符卡",F360="對話",F360="標題"),M360,"")</f>
        <v/>
      </c>
      <c r="E360" s="26">
        <f t="shared" si="89"/>
        <v>360</v>
      </c>
      <c r="F360" s="9" t="s">
        <v>124</v>
      </c>
      <c r="G360" s="26">
        <v>8</v>
      </c>
      <c r="H360" s="26">
        <v>2</v>
      </c>
      <c r="J360" s="26" t="s">
        <v>306</v>
      </c>
      <c r="M360" s="26">
        <f t="shared" ref="M360" si="104">$J$330+D359</f>
        <v>153</v>
      </c>
    </row>
    <row r="361" spans="2:13">
      <c r="E361" s="26">
        <f t="shared" si="89"/>
        <v>361</v>
      </c>
      <c r="F361" s="9" t="s">
        <v>180</v>
      </c>
      <c r="M361" s="26" t="s">
        <v>40</v>
      </c>
    </row>
    <row r="362" spans="2:13">
      <c r="E362" s="26">
        <f t="shared" si="89"/>
        <v>362</v>
      </c>
      <c r="F362" s="9" t="s">
        <v>182</v>
      </c>
      <c r="M362" s="26" t="s">
        <v>113</v>
      </c>
    </row>
    <row r="363" spans="2:13">
      <c r="E363" s="26">
        <f t="shared" si="89"/>
        <v>363</v>
      </c>
      <c r="F363" s="9" t="s">
        <v>176</v>
      </c>
      <c r="M363" s="26" t="s">
        <v>50</v>
      </c>
    </row>
    <row r="364" spans="2:13">
      <c r="E364" s="26">
        <f t="shared" si="89"/>
        <v>364</v>
      </c>
      <c r="F364" s="9" t="s">
        <v>185</v>
      </c>
      <c r="M364" s="26">
        <f t="shared" ref="M364" si="105">C359*3</f>
        <v>9</v>
      </c>
    </row>
    <row r="365" spans="2:13">
      <c r="D365" s="26" t="str">
        <f t="shared" ref="D365:D369" si="106">IF(OR(F365="ID",F365="符卡",F365="對話",F365="標題"),M365,"")</f>
        <v/>
      </c>
      <c r="E365" s="26">
        <f t="shared" si="89"/>
        <v>365</v>
      </c>
      <c r="F365" s="9" t="s">
        <v>29</v>
      </c>
      <c r="M365" s="26" t="s">
        <v>221</v>
      </c>
    </row>
    <row r="366" spans="2:13">
      <c r="D366" s="26" t="str">
        <f t="shared" si="106"/>
        <v/>
      </c>
      <c r="E366" s="26">
        <f t="shared" si="89"/>
        <v>366</v>
      </c>
      <c r="F366" s="9" t="s">
        <v>112</v>
      </c>
      <c r="K366" s="9" t="s">
        <v>159</v>
      </c>
      <c r="M366" s="26" t="s">
        <v>39</v>
      </c>
    </row>
    <row r="367" spans="2:13">
      <c r="D367" s="26" t="str">
        <f t="shared" si="106"/>
        <v/>
      </c>
      <c r="E367" s="26">
        <f t="shared" si="89"/>
        <v>367</v>
      </c>
      <c r="F367" s="9" t="s">
        <v>186</v>
      </c>
      <c r="G367" s="26" t="b">
        <f t="shared" ref="G367" si="107">MOD(B359,2)=0</f>
        <v>0</v>
      </c>
      <c r="H367" s="26" t="s">
        <v>223</v>
      </c>
      <c r="I367" s="26" t="s">
        <v>224</v>
      </c>
      <c r="K367" s="9" t="s">
        <v>158</v>
      </c>
      <c r="M367" s="26" t="str">
        <f t="shared" ref="M367" si="108">IF(G367,$H$337,$I$337)</f>
        <v>0.5,-0.3</v>
      </c>
    </row>
    <row r="368" spans="2:13">
      <c r="D368" s="26" t="str">
        <f t="shared" si="106"/>
        <v/>
      </c>
      <c r="E368" s="26">
        <f t="shared" si="89"/>
        <v>368</v>
      </c>
      <c r="F368" s="9" t="s">
        <v>30</v>
      </c>
      <c r="M368" s="26" t="s">
        <v>42</v>
      </c>
    </row>
    <row r="369" spans="2:13">
      <c r="D369" s="26" t="str">
        <f t="shared" si="106"/>
        <v/>
      </c>
      <c r="E369" s="26">
        <f t="shared" si="89"/>
        <v>369</v>
      </c>
      <c r="F369" s="9" t="s">
        <v>31</v>
      </c>
      <c r="G369" s="26" t="b">
        <f t="shared" ref="G369" si="109">MOD(B359,2)=0</f>
        <v>0</v>
      </c>
      <c r="H369" s="26" t="str">
        <f t="shared" ref="H369" si="110">IF(G369,$G$340,$I$340)</f>
        <v>35</v>
      </c>
      <c r="I369" s="26" t="str">
        <f t="shared" ref="I369" si="111">IF(G369,$H$340,J370)</f>
        <v>-10</v>
      </c>
      <c r="J369" s="26">
        <v>90</v>
      </c>
      <c r="L369" s="9" t="s">
        <v>156</v>
      </c>
      <c r="M369" s="26">
        <f t="shared" ref="M369" si="112">J369+H369+I369*C359</f>
        <v>95</v>
      </c>
    </row>
    <row r="370" spans="2:13">
      <c r="G370" s="26" t="s">
        <v>225</v>
      </c>
      <c r="H370" s="26" t="s">
        <v>34</v>
      </c>
      <c r="I370" s="26" t="s">
        <v>226</v>
      </c>
      <c r="J370" s="26" t="s">
        <v>227</v>
      </c>
    </row>
    <row r="371" spans="2:13">
      <c r="E371" s="26">
        <f t="shared" si="99"/>
        <v>371</v>
      </c>
      <c r="F371" s="9" t="s">
        <v>136</v>
      </c>
      <c r="M371" s="26" t="s">
        <v>118</v>
      </c>
    </row>
    <row r="372" spans="2:13">
      <c r="E372" s="26">
        <f t="shared" si="99"/>
        <v>372</v>
      </c>
      <c r="F372" s="9" t="s">
        <v>220</v>
      </c>
      <c r="M372" s="26" t="s">
        <v>106</v>
      </c>
    </row>
    <row r="373" spans="2:13">
      <c r="D373" s="26" t="str">
        <f t="shared" ref="D373" si="113">IF(OR(F373="ID",F373="符卡",F373="對話",F373="標題"),M373,"")</f>
        <v/>
      </c>
      <c r="E373" s="26">
        <f t="shared" si="99"/>
        <v>373</v>
      </c>
      <c r="F373" s="9" t="s">
        <v>127</v>
      </c>
      <c r="M373" s="26" t="s">
        <v>222</v>
      </c>
    </row>
    <row r="374" spans="2:13">
      <c r="B374" s="26">
        <f t="shared" ref="B374" si="114">QUOTIENT( D374-1,G375)+1</f>
        <v>1</v>
      </c>
      <c r="C374" s="26">
        <f t="shared" ref="C374" si="115">D374-(B374-1)*G375</f>
        <v>4</v>
      </c>
      <c r="D374" s="26">
        <f>COUNT($D$328:$D373)+1</f>
        <v>4</v>
      </c>
    </row>
    <row r="375" spans="2:13">
      <c r="D375" s="26" t="str">
        <f t="shared" ref="D375" si="116">IF(OR(F375="ID",F375="符卡",F375="對話",F375="標題"),M375,"")</f>
        <v/>
      </c>
      <c r="E375" s="26">
        <f t="shared" si="89"/>
        <v>375</v>
      </c>
      <c r="F375" s="9" t="s">
        <v>124</v>
      </c>
      <c r="G375" s="26">
        <v>8</v>
      </c>
      <c r="H375" s="26">
        <v>2</v>
      </c>
      <c r="J375" s="26" t="s">
        <v>306</v>
      </c>
      <c r="M375" s="26">
        <f t="shared" ref="M375" si="117">$J$330+D374</f>
        <v>154</v>
      </c>
    </row>
    <row r="376" spans="2:13">
      <c r="E376" s="26">
        <f t="shared" si="89"/>
        <v>376</v>
      </c>
      <c r="F376" s="9" t="s">
        <v>180</v>
      </c>
      <c r="M376" s="26" t="s">
        <v>40</v>
      </c>
    </row>
    <row r="377" spans="2:13">
      <c r="E377" s="26">
        <f t="shared" si="89"/>
        <v>377</v>
      </c>
      <c r="F377" s="9" t="s">
        <v>182</v>
      </c>
      <c r="M377" s="26" t="s">
        <v>113</v>
      </c>
    </row>
    <row r="378" spans="2:13">
      <c r="E378" s="26">
        <f t="shared" si="89"/>
        <v>378</v>
      </c>
      <c r="F378" s="9" t="s">
        <v>176</v>
      </c>
      <c r="M378" s="26" t="s">
        <v>50</v>
      </c>
    </row>
    <row r="379" spans="2:13">
      <c r="E379" s="26">
        <f t="shared" si="89"/>
        <v>379</v>
      </c>
      <c r="F379" s="9" t="s">
        <v>185</v>
      </c>
      <c r="M379" s="26">
        <f t="shared" ref="M379" si="118">C374*3</f>
        <v>12</v>
      </c>
    </row>
    <row r="380" spans="2:13">
      <c r="D380" s="26" t="str">
        <f t="shared" ref="D380:D384" si="119">IF(OR(F380="ID",F380="符卡",F380="對話",F380="標題"),M380,"")</f>
        <v/>
      </c>
      <c r="E380" s="26">
        <f t="shared" si="89"/>
        <v>380</v>
      </c>
      <c r="F380" s="9" t="s">
        <v>29</v>
      </c>
      <c r="M380" s="26" t="s">
        <v>221</v>
      </c>
    </row>
    <row r="381" spans="2:13">
      <c r="D381" s="26" t="str">
        <f t="shared" si="119"/>
        <v/>
      </c>
      <c r="E381" s="26">
        <f t="shared" si="89"/>
        <v>381</v>
      </c>
      <c r="F381" s="9" t="s">
        <v>112</v>
      </c>
      <c r="K381" s="9" t="s">
        <v>159</v>
      </c>
      <c r="M381" s="26" t="s">
        <v>39</v>
      </c>
    </row>
    <row r="382" spans="2:13">
      <c r="D382" s="26" t="str">
        <f t="shared" si="119"/>
        <v/>
      </c>
      <c r="E382" s="26">
        <f t="shared" si="89"/>
        <v>382</v>
      </c>
      <c r="F382" s="9" t="s">
        <v>186</v>
      </c>
      <c r="G382" s="26" t="b">
        <f t="shared" ref="G382" si="120">MOD(B374,2)=0</f>
        <v>0</v>
      </c>
      <c r="H382" s="26" t="s">
        <v>223</v>
      </c>
      <c r="I382" s="26" t="s">
        <v>224</v>
      </c>
      <c r="K382" s="9" t="s">
        <v>158</v>
      </c>
      <c r="M382" s="26" t="str">
        <f t="shared" ref="M382" si="121">IF(G382,$H$337,$I$337)</f>
        <v>0.5,-0.3</v>
      </c>
    </row>
    <row r="383" spans="2:13">
      <c r="D383" s="26" t="str">
        <f t="shared" si="119"/>
        <v/>
      </c>
      <c r="E383" s="26">
        <f t="shared" si="89"/>
        <v>383</v>
      </c>
      <c r="F383" s="9" t="s">
        <v>30</v>
      </c>
      <c r="M383" s="26" t="s">
        <v>42</v>
      </c>
    </row>
    <row r="384" spans="2:13">
      <c r="D384" s="26" t="str">
        <f t="shared" si="119"/>
        <v/>
      </c>
      <c r="E384" s="26">
        <f t="shared" si="89"/>
        <v>384</v>
      </c>
      <c r="F384" s="9" t="s">
        <v>31</v>
      </c>
      <c r="G384" s="26" t="b">
        <f t="shared" ref="G384" si="122">MOD(B374,2)=0</f>
        <v>0</v>
      </c>
      <c r="H384" s="26" t="str">
        <f t="shared" ref="H384" si="123">IF(G384,$G$340,$I$340)</f>
        <v>35</v>
      </c>
      <c r="I384" s="26" t="str">
        <f t="shared" ref="I384" si="124">IF(G384,$H$340,J385)</f>
        <v>-10</v>
      </c>
      <c r="J384" s="26">
        <v>90</v>
      </c>
      <c r="L384" s="9" t="s">
        <v>156</v>
      </c>
      <c r="M384" s="26">
        <f t="shared" ref="M384" si="125">J384+H384+I384*C374</f>
        <v>85</v>
      </c>
    </row>
    <row r="385" spans="2:13">
      <c r="G385" s="26" t="s">
        <v>225</v>
      </c>
      <c r="H385" s="26" t="s">
        <v>34</v>
      </c>
      <c r="I385" s="26" t="s">
        <v>226</v>
      </c>
      <c r="J385" s="26" t="s">
        <v>227</v>
      </c>
    </row>
    <row r="386" spans="2:13">
      <c r="E386" s="26">
        <f t="shared" si="99"/>
        <v>386</v>
      </c>
      <c r="F386" s="9" t="s">
        <v>136</v>
      </c>
      <c r="M386" s="26" t="s">
        <v>118</v>
      </c>
    </row>
    <row r="387" spans="2:13">
      <c r="E387" s="26">
        <f t="shared" si="99"/>
        <v>387</v>
      </c>
      <c r="F387" s="9" t="s">
        <v>220</v>
      </c>
      <c r="M387" s="26" t="s">
        <v>106</v>
      </c>
    </row>
    <row r="388" spans="2:13">
      <c r="D388" s="26" t="str">
        <f t="shared" ref="D388" si="126">IF(OR(F388="ID",F388="符卡",F388="對話",F388="標題"),M388,"")</f>
        <v/>
      </c>
      <c r="E388" s="26">
        <f t="shared" si="99"/>
        <v>388</v>
      </c>
      <c r="F388" s="9" t="s">
        <v>127</v>
      </c>
      <c r="M388" s="26" t="s">
        <v>222</v>
      </c>
    </row>
    <row r="389" spans="2:13">
      <c r="B389" s="26">
        <f t="shared" ref="B389" si="127">QUOTIENT( D389-1,G390)+1</f>
        <v>1</v>
      </c>
      <c r="C389" s="26">
        <f t="shared" ref="C389" si="128">D389-(B389-1)*G390</f>
        <v>5</v>
      </c>
      <c r="D389" s="26">
        <f>COUNT($D$328:$D388)+1</f>
        <v>5</v>
      </c>
    </row>
    <row r="390" spans="2:13">
      <c r="D390" s="26" t="str">
        <f t="shared" ref="D390" si="129">IF(OR(F390="ID",F390="符卡",F390="對話",F390="標題"),M390,"")</f>
        <v/>
      </c>
      <c r="E390" s="26">
        <f t="shared" si="89"/>
        <v>390</v>
      </c>
      <c r="F390" s="9" t="s">
        <v>124</v>
      </c>
      <c r="G390" s="26">
        <v>8</v>
      </c>
      <c r="H390" s="26">
        <v>2</v>
      </c>
      <c r="J390" s="26" t="s">
        <v>306</v>
      </c>
      <c r="M390" s="26">
        <f t="shared" ref="M390" si="130">$J$330+D389</f>
        <v>155</v>
      </c>
    </row>
    <row r="391" spans="2:13">
      <c r="E391" s="26">
        <f t="shared" si="89"/>
        <v>391</v>
      </c>
      <c r="F391" s="9" t="s">
        <v>180</v>
      </c>
      <c r="M391" s="26" t="s">
        <v>40</v>
      </c>
    </row>
    <row r="392" spans="2:13">
      <c r="E392" s="26">
        <f t="shared" si="89"/>
        <v>392</v>
      </c>
      <c r="F392" s="9" t="s">
        <v>182</v>
      </c>
      <c r="M392" s="26" t="s">
        <v>113</v>
      </c>
    </row>
    <row r="393" spans="2:13">
      <c r="E393" s="26">
        <f t="shared" si="89"/>
        <v>393</v>
      </c>
      <c r="F393" s="9" t="s">
        <v>176</v>
      </c>
      <c r="M393" s="26" t="s">
        <v>50</v>
      </c>
    </row>
    <row r="394" spans="2:13">
      <c r="E394" s="26">
        <f t="shared" si="89"/>
        <v>394</v>
      </c>
      <c r="F394" s="9" t="s">
        <v>185</v>
      </c>
      <c r="M394" s="26">
        <f t="shared" ref="M394" si="131">C389*3</f>
        <v>15</v>
      </c>
    </row>
    <row r="395" spans="2:13">
      <c r="D395" s="26" t="str">
        <f t="shared" ref="D395:D399" si="132">IF(OR(F395="ID",F395="符卡",F395="對話",F395="標題"),M395,"")</f>
        <v/>
      </c>
      <c r="E395" s="26">
        <f t="shared" si="89"/>
        <v>395</v>
      </c>
      <c r="F395" s="9" t="s">
        <v>29</v>
      </c>
      <c r="M395" s="26" t="s">
        <v>221</v>
      </c>
    </row>
    <row r="396" spans="2:13">
      <c r="D396" s="26" t="str">
        <f t="shared" si="132"/>
        <v/>
      </c>
      <c r="E396" s="26">
        <f t="shared" si="89"/>
        <v>396</v>
      </c>
      <c r="F396" s="9" t="s">
        <v>112</v>
      </c>
      <c r="K396" s="9" t="s">
        <v>159</v>
      </c>
      <c r="M396" s="26" t="s">
        <v>39</v>
      </c>
    </row>
    <row r="397" spans="2:13">
      <c r="D397" s="26" t="str">
        <f t="shared" si="132"/>
        <v/>
      </c>
      <c r="E397" s="26">
        <f t="shared" si="89"/>
        <v>397</v>
      </c>
      <c r="F397" s="9" t="s">
        <v>186</v>
      </c>
      <c r="G397" s="26" t="b">
        <f t="shared" ref="G397" si="133">MOD(B389,2)=0</f>
        <v>0</v>
      </c>
      <c r="H397" s="26" t="s">
        <v>223</v>
      </c>
      <c r="I397" s="26" t="s">
        <v>224</v>
      </c>
      <c r="K397" s="9" t="s">
        <v>158</v>
      </c>
      <c r="M397" s="26" t="str">
        <f t="shared" ref="M397" si="134">IF(G397,$H$337,$I$337)</f>
        <v>0.5,-0.3</v>
      </c>
    </row>
    <row r="398" spans="2:13">
      <c r="D398" s="26" t="str">
        <f t="shared" si="132"/>
        <v/>
      </c>
      <c r="E398" s="26">
        <f t="shared" si="89"/>
        <v>398</v>
      </c>
      <c r="F398" s="9" t="s">
        <v>30</v>
      </c>
      <c r="M398" s="26" t="s">
        <v>42</v>
      </c>
    </row>
    <row r="399" spans="2:13">
      <c r="D399" s="26" t="str">
        <f t="shared" si="132"/>
        <v/>
      </c>
      <c r="E399" s="26">
        <f t="shared" si="89"/>
        <v>399</v>
      </c>
      <c r="F399" s="9" t="s">
        <v>31</v>
      </c>
      <c r="G399" s="26" t="b">
        <f t="shared" ref="G399" si="135">MOD(B389,2)=0</f>
        <v>0</v>
      </c>
      <c r="H399" s="26" t="str">
        <f t="shared" ref="H399" si="136">IF(G399,$G$340,$I$340)</f>
        <v>35</v>
      </c>
      <c r="I399" s="26" t="str">
        <f t="shared" ref="I399" si="137">IF(G399,$H$340,J400)</f>
        <v>-10</v>
      </c>
      <c r="J399" s="26">
        <v>90</v>
      </c>
      <c r="L399" s="9" t="s">
        <v>156</v>
      </c>
      <c r="M399" s="26">
        <f t="shared" ref="M399" si="138">J399+H399+I399*C389</f>
        <v>75</v>
      </c>
    </row>
    <row r="400" spans="2:13">
      <c r="G400" s="26" t="s">
        <v>225</v>
      </c>
      <c r="H400" s="26" t="s">
        <v>34</v>
      </c>
      <c r="I400" s="26" t="s">
        <v>226</v>
      </c>
      <c r="J400" s="26" t="s">
        <v>227</v>
      </c>
    </row>
    <row r="401" spans="2:13">
      <c r="E401" s="26">
        <f t="shared" si="99"/>
        <v>401</v>
      </c>
      <c r="F401" s="9" t="s">
        <v>136</v>
      </c>
      <c r="M401" s="26" t="s">
        <v>118</v>
      </c>
    </row>
    <row r="402" spans="2:13">
      <c r="E402" s="26">
        <f t="shared" si="99"/>
        <v>402</v>
      </c>
      <c r="F402" s="9" t="s">
        <v>220</v>
      </c>
      <c r="M402" s="26" t="s">
        <v>106</v>
      </c>
    </row>
    <row r="403" spans="2:13">
      <c r="D403" s="26" t="str">
        <f t="shared" ref="D403" si="139">IF(OR(F403="ID",F403="符卡",F403="對話",F403="標題"),M403,"")</f>
        <v/>
      </c>
      <c r="E403" s="26">
        <f t="shared" si="99"/>
        <v>403</v>
      </c>
      <c r="F403" s="9" t="s">
        <v>127</v>
      </c>
      <c r="M403" s="26" t="s">
        <v>222</v>
      </c>
    </row>
    <row r="404" spans="2:13">
      <c r="B404" s="26">
        <f t="shared" ref="B404" si="140">QUOTIENT( D404-1,G405)+1</f>
        <v>1</v>
      </c>
      <c r="C404" s="26">
        <f t="shared" ref="C404" si="141">D404-(B404-1)*G405</f>
        <v>6</v>
      </c>
      <c r="D404" s="26">
        <f>COUNT($D$328:$D403)+1</f>
        <v>6</v>
      </c>
    </row>
    <row r="405" spans="2:13">
      <c r="D405" s="26" t="str">
        <f t="shared" ref="D405" si="142">IF(OR(F405="ID",F405="符卡",F405="對話",F405="標題"),M405,"")</f>
        <v/>
      </c>
      <c r="E405" s="26">
        <f t="shared" si="89"/>
        <v>405</v>
      </c>
      <c r="F405" s="9" t="s">
        <v>124</v>
      </c>
      <c r="G405" s="26">
        <v>8</v>
      </c>
      <c r="H405" s="26">
        <v>2</v>
      </c>
      <c r="J405" s="26" t="s">
        <v>306</v>
      </c>
      <c r="M405" s="26">
        <f t="shared" ref="M405" si="143">$J$330+D404</f>
        <v>156</v>
      </c>
    </row>
    <row r="406" spans="2:13">
      <c r="E406" s="26">
        <f t="shared" si="89"/>
        <v>406</v>
      </c>
      <c r="F406" s="9" t="s">
        <v>180</v>
      </c>
      <c r="M406" s="26" t="s">
        <v>40</v>
      </c>
    </row>
    <row r="407" spans="2:13">
      <c r="E407" s="26">
        <f t="shared" si="89"/>
        <v>407</v>
      </c>
      <c r="F407" s="9" t="s">
        <v>182</v>
      </c>
      <c r="M407" s="26" t="s">
        <v>113</v>
      </c>
    </row>
    <row r="408" spans="2:13">
      <c r="E408" s="26">
        <f t="shared" si="89"/>
        <v>408</v>
      </c>
      <c r="F408" s="9" t="s">
        <v>176</v>
      </c>
      <c r="M408" s="26" t="s">
        <v>50</v>
      </c>
    </row>
    <row r="409" spans="2:13">
      <c r="E409" s="26">
        <f t="shared" ref="E409:E472" si="144">ROW(E409)</f>
        <v>409</v>
      </c>
      <c r="F409" s="9" t="s">
        <v>185</v>
      </c>
      <c r="M409" s="26">
        <f t="shared" ref="M409" si="145">C404*3</f>
        <v>18</v>
      </c>
    </row>
    <row r="410" spans="2:13">
      <c r="D410" s="26" t="str">
        <f t="shared" ref="D410:D414" si="146">IF(OR(F410="ID",F410="符卡",F410="對話",F410="標題"),M410,"")</f>
        <v/>
      </c>
      <c r="E410" s="26">
        <f t="shared" si="144"/>
        <v>410</v>
      </c>
      <c r="F410" s="9" t="s">
        <v>29</v>
      </c>
      <c r="M410" s="26" t="s">
        <v>221</v>
      </c>
    </row>
    <row r="411" spans="2:13">
      <c r="D411" s="26" t="str">
        <f t="shared" si="146"/>
        <v/>
      </c>
      <c r="E411" s="26">
        <f t="shared" si="144"/>
        <v>411</v>
      </c>
      <c r="F411" s="9" t="s">
        <v>112</v>
      </c>
      <c r="K411" s="9" t="s">
        <v>159</v>
      </c>
      <c r="M411" s="26" t="s">
        <v>39</v>
      </c>
    </row>
    <row r="412" spans="2:13">
      <c r="D412" s="26" t="str">
        <f t="shared" si="146"/>
        <v/>
      </c>
      <c r="E412" s="26">
        <f t="shared" si="144"/>
        <v>412</v>
      </c>
      <c r="F412" s="9" t="s">
        <v>186</v>
      </c>
      <c r="G412" s="26" t="b">
        <f t="shared" ref="G412" si="147">MOD(B404,2)=0</f>
        <v>0</v>
      </c>
      <c r="H412" s="26" t="s">
        <v>223</v>
      </c>
      <c r="I412" s="26" t="s">
        <v>224</v>
      </c>
      <c r="K412" s="9" t="s">
        <v>158</v>
      </c>
      <c r="M412" s="26" t="str">
        <f t="shared" ref="M412" si="148">IF(G412,$H$337,$I$337)</f>
        <v>0.5,-0.3</v>
      </c>
    </row>
    <row r="413" spans="2:13">
      <c r="D413" s="26" t="str">
        <f t="shared" si="146"/>
        <v/>
      </c>
      <c r="E413" s="26">
        <f t="shared" si="144"/>
        <v>413</v>
      </c>
      <c r="F413" s="9" t="s">
        <v>30</v>
      </c>
      <c r="M413" s="26" t="s">
        <v>42</v>
      </c>
    </row>
    <row r="414" spans="2:13">
      <c r="D414" s="26" t="str">
        <f t="shared" si="146"/>
        <v/>
      </c>
      <c r="E414" s="26">
        <f t="shared" si="144"/>
        <v>414</v>
      </c>
      <c r="F414" s="9" t="s">
        <v>31</v>
      </c>
      <c r="G414" s="26" t="b">
        <f t="shared" ref="G414" si="149">MOD(B404,2)=0</f>
        <v>0</v>
      </c>
      <c r="H414" s="26" t="str">
        <f t="shared" ref="H414" si="150">IF(G414,$G$340,$I$340)</f>
        <v>35</v>
      </c>
      <c r="I414" s="26" t="str">
        <f t="shared" ref="I414" si="151">IF(G414,$H$340,J415)</f>
        <v>-10</v>
      </c>
      <c r="J414" s="26">
        <v>90</v>
      </c>
      <c r="L414" s="9" t="s">
        <v>156</v>
      </c>
      <c r="M414" s="26">
        <f t="shared" ref="M414" si="152">J414+H414+I414*C404</f>
        <v>65</v>
      </c>
    </row>
    <row r="415" spans="2:13">
      <c r="G415" s="26" t="s">
        <v>225</v>
      </c>
      <c r="H415" s="26" t="s">
        <v>34</v>
      </c>
      <c r="I415" s="26" t="s">
        <v>226</v>
      </c>
      <c r="J415" s="26" t="s">
        <v>227</v>
      </c>
    </row>
    <row r="416" spans="2:13">
      <c r="E416" s="26">
        <f t="shared" si="99"/>
        <v>416</v>
      </c>
      <c r="F416" s="9" t="s">
        <v>136</v>
      </c>
      <c r="M416" s="26" t="s">
        <v>118</v>
      </c>
    </row>
    <row r="417" spans="2:13">
      <c r="E417" s="26">
        <f t="shared" si="99"/>
        <v>417</v>
      </c>
      <c r="F417" s="9" t="s">
        <v>220</v>
      </c>
      <c r="M417" s="26" t="s">
        <v>106</v>
      </c>
    </row>
    <row r="418" spans="2:13">
      <c r="D418" s="26" t="str">
        <f t="shared" ref="D418" si="153">IF(OR(F418="ID",F418="符卡",F418="對話",F418="標題"),M418,"")</f>
        <v/>
      </c>
      <c r="E418" s="26">
        <f t="shared" si="99"/>
        <v>418</v>
      </c>
      <c r="F418" s="9" t="s">
        <v>127</v>
      </c>
      <c r="M418" s="26" t="s">
        <v>222</v>
      </c>
    </row>
    <row r="419" spans="2:13">
      <c r="B419" s="26">
        <f t="shared" ref="B419" si="154">QUOTIENT( D419-1,G420)+1</f>
        <v>1</v>
      </c>
      <c r="C419" s="26">
        <f t="shared" ref="C419" si="155">D419-(B419-1)*G420</f>
        <v>7</v>
      </c>
      <c r="D419" s="26">
        <f>COUNT($D$328:$D418)+1</f>
        <v>7</v>
      </c>
    </row>
    <row r="420" spans="2:13">
      <c r="D420" s="26" t="str">
        <f t="shared" ref="D420" si="156">IF(OR(F420="ID",F420="符卡",F420="對話",F420="標題"),M420,"")</f>
        <v/>
      </c>
      <c r="E420" s="26">
        <f t="shared" si="144"/>
        <v>420</v>
      </c>
      <c r="F420" s="9" t="s">
        <v>124</v>
      </c>
      <c r="G420" s="26">
        <v>8</v>
      </c>
      <c r="H420" s="26">
        <v>2</v>
      </c>
      <c r="J420" s="26" t="s">
        <v>306</v>
      </c>
      <c r="M420" s="26">
        <f t="shared" ref="M420" si="157">$J$330+D419</f>
        <v>157</v>
      </c>
    </row>
    <row r="421" spans="2:13">
      <c r="E421" s="26">
        <f t="shared" si="144"/>
        <v>421</v>
      </c>
      <c r="F421" s="9" t="s">
        <v>180</v>
      </c>
      <c r="M421" s="26" t="s">
        <v>40</v>
      </c>
    </row>
    <row r="422" spans="2:13">
      <c r="E422" s="26">
        <f t="shared" si="144"/>
        <v>422</v>
      </c>
      <c r="F422" s="9" t="s">
        <v>182</v>
      </c>
      <c r="M422" s="26" t="s">
        <v>113</v>
      </c>
    </row>
    <row r="423" spans="2:13">
      <c r="E423" s="26">
        <f t="shared" si="144"/>
        <v>423</v>
      </c>
      <c r="F423" s="9" t="s">
        <v>176</v>
      </c>
      <c r="M423" s="26" t="s">
        <v>50</v>
      </c>
    </row>
    <row r="424" spans="2:13">
      <c r="E424" s="26">
        <f t="shared" si="144"/>
        <v>424</v>
      </c>
      <c r="F424" s="9" t="s">
        <v>185</v>
      </c>
      <c r="M424" s="26">
        <f t="shared" ref="M424" si="158">C419*3</f>
        <v>21</v>
      </c>
    </row>
    <row r="425" spans="2:13">
      <c r="D425" s="26" t="str">
        <f t="shared" ref="D425:D429" si="159">IF(OR(F425="ID",F425="符卡",F425="對話",F425="標題"),M425,"")</f>
        <v/>
      </c>
      <c r="E425" s="26">
        <f t="shared" si="144"/>
        <v>425</v>
      </c>
      <c r="F425" s="9" t="s">
        <v>29</v>
      </c>
      <c r="M425" s="26" t="s">
        <v>221</v>
      </c>
    </row>
    <row r="426" spans="2:13">
      <c r="D426" s="26" t="str">
        <f t="shared" si="159"/>
        <v/>
      </c>
      <c r="E426" s="26">
        <f t="shared" si="144"/>
        <v>426</v>
      </c>
      <c r="F426" s="9" t="s">
        <v>112</v>
      </c>
      <c r="K426" s="9" t="s">
        <v>159</v>
      </c>
      <c r="M426" s="26" t="s">
        <v>39</v>
      </c>
    </row>
    <row r="427" spans="2:13">
      <c r="D427" s="26" t="str">
        <f t="shared" si="159"/>
        <v/>
      </c>
      <c r="E427" s="26">
        <f t="shared" si="144"/>
        <v>427</v>
      </c>
      <c r="F427" s="9" t="s">
        <v>186</v>
      </c>
      <c r="G427" s="26" t="b">
        <f t="shared" ref="G427" si="160">MOD(B419,2)=0</f>
        <v>0</v>
      </c>
      <c r="H427" s="26" t="s">
        <v>223</v>
      </c>
      <c r="I427" s="26" t="s">
        <v>224</v>
      </c>
      <c r="K427" s="9" t="s">
        <v>158</v>
      </c>
      <c r="M427" s="26" t="str">
        <f t="shared" ref="M427" si="161">IF(G427,$H$337,$I$337)</f>
        <v>0.5,-0.3</v>
      </c>
    </row>
    <row r="428" spans="2:13">
      <c r="D428" s="26" t="str">
        <f t="shared" si="159"/>
        <v/>
      </c>
      <c r="E428" s="26">
        <f t="shared" si="144"/>
        <v>428</v>
      </c>
      <c r="F428" s="9" t="s">
        <v>30</v>
      </c>
      <c r="M428" s="26" t="s">
        <v>42</v>
      </c>
    </row>
    <row r="429" spans="2:13">
      <c r="D429" s="26" t="str">
        <f t="shared" si="159"/>
        <v/>
      </c>
      <c r="E429" s="26">
        <f t="shared" si="144"/>
        <v>429</v>
      </c>
      <c r="F429" s="9" t="s">
        <v>31</v>
      </c>
      <c r="G429" s="26" t="b">
        <f t="shared" ref="G429" si="162">MOD(B419,2)=0</f>
        <v>0</v>
      </c>
      <c r="H429" s="26" t="str">
        <f t="shared" ref="H429" si="163">IF(G429,$G$340,$I$340)</f>
        <v>35</v>
      </c>
      <c r="I429" s="26" t="str">
        <f t="shared" ref="I429" si="164">IF(G429,$H$340,J430)</f>
        <v>-10</v>
      </c>
      <c r="J429" s="26">
        <v>90</v>
      </c>
      <c r="L429" s="9" t="s">
        <v>156</v>
      </c>
      <c r="M429" s="26">
        <f t="shared" ref="M429" si="165">J429+H429+I429*C419</f>
        <v>55</v>
      </c>
    </row>
    <row r="430" spans="2:13">
      <c r="G430" s="26" t="s">
        <v>225</v>
      </c>
      <c r="H430" s="26" t="s">
        <v>34</v>
      </c>
      <c r="I430" s="26" t="s">
        <v>226</v>
      </c>
      <c r="J430" s="26" t="s">
        <v>227</v>
      </c>
    </row>
    <row r="431" spans="2:13">
      <c r="E431" s="26">
        <f t="shared" ref="E431:E493" si="166">ROW(E431)</f>
        <v>431</v>
      </c>
      <c r="F431" s="9" t="s">
        <v>136</v>
      </c>
      <c r="M431" s="26" t="s">
        <v>118</v>
      </c>
    </row>
    <row r="432" spans="2:13">
      <c r="E432" s="26">
        <f t="shared" si="166"/>
        <v>432</v>
      </c>
      <c r="F432" s="9" t="s">
        <v>220</v>
      </c>
      <c r="M432" s="26" t="s">
        <v>106</v>
      </c>
    </row>
    <row r="433" spans="2:13">
      <c r="D433" s="26" t="str">
        <f t="shared" ref="D433" si="167">IF(OR(F433="ID",F433="符卡",F433="對話",F433="標題"),M433,"")</f>
        <v/>
      </c>
      <c r="E433" s="26">
        <f t="shared" si="166"/>
        <v>433</v>
      </c>
      <c r="F433" s="9" t="s">
        <v>127</v>
      </c>
      <c r="M433" s="26" t="s">
        <v>222</v>
      </c>
    </row>
    <row r="434" spans="2:13">
      <c r="B434" s="26">
        <f t="shared" ref="B434" si="168">QUOTIENT( D434-1,G435)+1</f>
        <v>1</v>
      </c>
      <c r="C434" s="26">
        <f t="shared" ref="C434" si="169">D434-(B434-1)*G435</f>
        <v>8</v>
      </c>
      <c r="D434" s="26">
        <f>COUNT($D$328:$D433)+1</f>
        <v>8</v>
      </c>
    </row>
    <row r="435" spans="2:13">
      <c r="D435" s="26" t="str">
        <f t="shared" ref="D435" si="170">IF(OR(F435="ID",F435="符卡",F435="對話",F435="標題"),M435,"")</f>
        <v/>
      </c>
      <c r="E435" s="26">
        <f t="shared" si="144"/>
        <v>435</v>
      </c>
      <c r="F435" s="9" t="s">
        <v>124</v>
      </c>
      <c r="G435" s="26">
        <v>8</v>
      </c>
      <c r="H435" s="26">
        <v>2</v>
      </c>
      <c r="J435" s="26" t="s">
        <v>306</v>
      </c>
      <c r="M435" s="26">
        <f t="shared" ref="M435" si="171">$J$330+D434</f>
        <v>158</v>
      </c>
    </row>
    <row r="436" spans="2:13">
      <c r="E436" s="26">
        <f t="shared" si="144"/>
        <v>436</v>
      </c>
      <c r="F436" s="9" t="s">
        <v>180</v>
      </c>
      <c r="M436" s="26" t="s">
        <v>40</v>
      </c>
    </row>
    <row r="437" spans="2:13">
      <c r="E437" s="26">
        <f t="shared" si="144"/>
        <v>437</v>
      </c>
      <c r="F437" s="9" t="s">
        <v>182</v>
      </c>
      <c r="M437" s="26" t="s">
        <v>113</v>
      </c>
    </row>
    <row r="438" spans="2:13">
      <c r="E438" s="26">
        <f t="shared" si="144"/>
        <v>438</v>
      </c>
      <c r="F438" s="9" t="s">
        <v>176</v>
      </c>
      <c r="M438" s="26" t="s">
        <v>50</v>
      </c>
    </row>
    <row r="439" spans="2:13">
      <c r="E439" s="26">
        <f t="shared" si="144"/>
        <v>439</v>
      </c>
      <c r="F439" s="9" t="s">
        <v>185</v>
      </c>
      <c r="M439" s="26">
        <f t="shared" ref="M439" si="172">C434*3</f>
        <v>24</v>
      </c>
    </row>
    <row r="440" spans="2:13">
      <c r="D440" s="26" t="str">
        <f t="shared" ref="D440:D444" si="173">IF(OR(F440="ID",F440="符卡",F440="對話",F440="標題"),M440,"")</f>
        <v/>
      </c>
      <c r="E440" s="26">
        <f t="shared" si="144"/>
        <v>440</v>
      </c>
      <c r="F440" s="9" t="s">
        <v>29</v>
      </c>
      <c r="M440" s="26" t="s">
        <v>221</v>
      </c>
    </row>
    <row r="441" spans="2:13">
      <c r="D441" s="26" t="str">
        <f t="shared" si="173"/>
        <v/>
      </c>
      <c r="E441" s="26">
        <f t="shared" si="144"/>
        <v>441</v>
      </c>
      <c r="F441" s="9" t="s">
        <v>112</v>
      </c>
      <c r="K441" s="9" t="s">
        <v>159</v>
      </c>
      <c r="M441" s="26" t="s">
        <v>39</v>
      </c>
    </row>
    <row r="442" spans="2:13">
      <c r="D442" s="26" t="str">
        <f t="shared" si="173"/>
        <v/>
      </c>
      <c r="E442" s="26">
        <f t="shared" si="144"/>
        <v>442</v>
      </c>
      <c r="F442" s="9" t="s">
        <v>186</v>
      </c>
      <c r="G442" s="26" t="b">
        <f t="shared" ref="G442" si="174">MOD(B434,2)=0</f>
        <v>0</v>
      </c>
      <c r="H442" s="26" t="s">
        <v>223</v>
      </c>
      <c r="I442" s="26" t="s">
        <v>224</v>
      </c>
      <c r="K442" s="9" t="s">
        <v>158</v>
      </c>
      <c r="M442" s="26" t="str">
        <f t="shared" ref="M442" si="175">IF(G442,$H$337,$I$337)</f>
        <v>0.5,-0.3</v>
      </c>
    </row>
    <row r="443" spans="2:13">
      <c r="D443" s="26" t="str">
        <f t="shared" si="173"/>
        <v/>
      </c>
      <c r="E443" s="26">
        <f t="shared" si="144"/>
        <v>443</v>
      </c>
      <c r="F443" s="9" t="s">
        <v>30</v>
      </c>
      <c r="M443" s="26" t="s">
        <v>42</v>
      </c>
    </row>
    <row r="444" spans="2:13">
      <c r="D444" s="26" t="str">
        <f t="shared" si="173"/>
        <v/>
      </c>
      <c r="E444" s="26">
        <f t="shared" si="144"/>
        <v>444</v>
      </c>
      <c r="F444" s="9" t="s">
        <v>31</v>
      </c>
      <c r="G444" s="26" t="b">
        <f t="shared" ref="G444" si="176">MOD(B434,2)=0</f>
        <v>0</v>
      </c>
      <c r="H444" s="26" t="str">
        <f t="shared" ref="H444" si="177">IF(G444,$G$340,$I$340)</f>
        <v>35</v>
      </c>
      <c r="I444" s="26" t="str">
        <f t="shared" ref="I444" si="178">IF(G444,$H$340,J445)</f>
        <v>-10</v>
      </c>
      <c r="J444" s="26">
        <v>90</v>
      </c>
      <c r="L444" s="9" t="s">
        <v>156</v>
      </c>
      <c r="M444" s="26">
        <f t="shared" ref="M444" si="179">J444+H444+I444*C434</f>
        <v>45</v>
      </c>
    </row>
    <row r="445" spans="2:13">
      <c r="G445" s="26" t="s">
        <v>225</v>
      </c>
      <c r="H445" s="26" t="s">
        <v>34</v>
      </c>
      <c r="I445" s="26" t="s">
        <v>226</v>
      </c>
      <c r="J445" s="26" t="s">
        <v>227</v>
      </c>
    </row>
    <row r="446" spans="2:13">
      <c r="E446" s="26">
        <f t="shared" si="166"/>
        <v>446</v>
      </c>
      <c r="F446" s="9" t="s">
        <v>136</v>
      </c>
      <c r="M446" s="26" t="s">
        <v>118</v>
      </c>
    </row>
    <row r="447" spans="2:13">
      <c r="E447" s="26">
        <f t="shared" si="166"/>
        <v>447</v>
      </c>
      <c r="F447" s="9" t="s">
        <v>220</v>
      </c>
      <c r="M447" s="26" t="s">
        <v>106</v>
      </c>
    </row>
    <row r="448" spans="2:13">
      <c r="D448" s="26" t="str">
        <f t="shared" ref="D448" si="180">IF(OR(F448="ID",F448="符卡",F448="對話",F448="標題"),M448,"")</f>
        <v/>
      </c>
      <c r="E448" s="26">
        <f t="shared" si="166"/>
        <v>448</v>
      </c>
      <c r="F448" s="9" t="s">
        <v>127</v>
      </c>
      <c r="M448" s="26" t="s">
        <v>222</v>
      </c>
    </row>
    <row r="449" spans="2:13">
      <c r="B449" s="26">
        <f t="shared" ref="B449" si="181">QUOTIENT( D449-1,G450)+1</f>
        <v>2</v>
      </c>
      <c r="C449" s="26">
        <f t="shared" ref="C449" si="182">D449-(B449-1)*G450</f>
        <v>1</v>
      </c>
      <c r="D449" s="26">
        <f>COUNT($D$328:$D448)+1</f>
        <v>9</v>
      </c>
    </row>
    <row r="450" spans="2:13">
      <c r="D450" s="26" t="str">
        <f t="shared" ref="D450" si="183">IF(OR(F450="ID",F450="符卡",F450="對話",F450="標題"),M450,"")</f>
        <v/>
      </c>
      <c r="E450" s="26">
        <f t="shared" si="144"/>
        <v>450</v>
      </c>
      <c r="F450" s="9" t="s">
        <v>124</v>
      </c>
      <c r="G450" s="26">
        <v>8</v>
      </c>
      <c r="H450" s="26">
        <v>2</v>
      </c>
      <c r="J450" s="26" t="s">
        <v>306</v>
      </c>
      <c r="M450" s="26">
        <f t="shared" ref="M450" si="184">$J$330+D449</f>
        <v>159</v>
      </c>
    </row>
    <row r="451" spans="2:13">
      <c r="E451" s="26">
        <f t="shared" si="144"/>
        <v>451</v>
      </c>
      <c r="F451" s="9" t="s">
        <v>180</v>
      </c>
      <c r="M451" s="26" t="s">
        <v>40</v>
      </c>
    </row>
    <row r="452" spans="2:13">
      <c r="E452" s="26">
        <f t="shared" si="144"/>
        <v>452</v>
      </c>
      <c r="F452" s="9" t="s">
        <v>182</v>
      </c>
      <c r="M452" s="26" t="s">
        <v>113</v>
      </c>
    </row>
    <row r="453" spans="2:13">
      <c r="E453" s="26">
        <f t="shared" si="144"/>
        <v>453</v>
      </c>
      <c r="F453" s="9" t="s">
        <v>176</v>
      </c>
      <c r="M453" s="26" t="s">
        <v>50</v>
      </c>
    </row>
    <row r="454" spans="2:13">
      <c r="E454" s="26">
        <f t="shared" si="144"/>
        <v>454</v>
      </c>
      <c r="F454" s="9" t="s">
        <v>185</v>
      </c>
      <c r="M454" s="26">
        <f t="shared" ref="M454" si="185">C449*3</f>
        <v>3</v>
      </c>
    </row>
    <row r="455" spans="2:13">
      <c r="D455" s="26" t="str">
        <f t="shared" ref="D455:D459" si="186">IF(OR(F455="ID",F455="符卡",F455="對話",F455="標題"),M455,"")</f>
        <v/>
      </c>
      <c r="E455" s="26">
        <f t="shared" si="144"/>
        <v>455</v>
      </c>
      <c r="F455" s="9" t="s">
        <v>29</v>
      </c>
      <c r="M455" s="26" t="s">
        <v>221</v>
      </c>
    </row>
    <row r="456" spans="2:13">
      <c r="D456" s="26" t="str">
        <f t="shared" si="186"/>
        <v/>
      </c>
      <c r="E456" s="26">
        <f t="shared" si="144"/>
        <v>456</v>
      </c>
      <c r="F456" s="9" t="s">
        <v>112</v>
      </c>
      <c r="K456" s="9" t="s">
        <v>159</v>
      </c>
      <c r="M456" s="26" t="s">
        <v>39</v>
      </c>
    </row>
    <row r="457" spans="2:13">
      <c r="D457" s="26" t="str">
        <f t="shared" si="186"/>
        <v/>
      </c>
      <c r="E457" s="26">
        <f t="shared" si="144"/>
        <v>457</v>
      </c>
      <c r="F457" s="9" t="s">
        <v>186</v>
      </c>
      <c r="G457" s="26" t="b">
        <f t="shared" ref="G457" si="187">MOD(B449,2)=0</f>
        <v>1</v>
      </c>
      <c r="H457" s="26" t="s">
        <v>223</v>
      </c>
      <c r="I457" s="26" t="s">
        <v>224</v>
      </c>
      <c r="K457" s="9" t="s">
        <v>158</v>
      </c>
      <c r="M457" s="26" t="str">
        <f t="shared" ref="M457" si="188">IF(G457,$H$337,$I$337)</f>
        <v>-0.5,-0.3</v>
      </c>
    </row>
    <row r="458" spans="2:13">
      <c r="D458" s="26" t="str">
        <f t="shared" si="186"/>
        <v/>
      </c>
      <c r="E458" s="26">
        <f t="shared" si="144"/>
        <v>458</v>
      </c>
      <c r="F458" s="9" t="s">
        <v>30</v>
      </c>
      <c r="M458" s="26" t="s">
        <v>42</v>
      </c>
    </row>
    <row r="459" spans="2:13">
      <c r="D459" s="26" t="str">
        <f t="shared" si="186"/>
        <v/>
      </c>
      <c r="E459" s="26">
        <f t="shared" si="144"/>
        <v>459</v>
      </c>
      <c r="F459" s="9" t="s">
        <v>31</v>
      </c>
      <c r="G459" s="26" t="b">
        <f t="shared" ref="G459" si="189">MOD(B449,2)=0</f>
        <v>1</v>
      </c>
      <c r="H459" s="26" t="str">
        <f t="shared" ref="H459" si="190">IF(G459,$G$340,$I$340)</f>
        <v>-35</v>
      </c>
      <c r="I459" s="26" t="str">
        <f t="shared" ref="I459" si="191">IF(G459,$H$340,J460)</f>
        <v>10</v>
      </c>
      <c r="J459" s="26">
        <v>90</v>
      </c>
      <c r="L459" s="9" t="s">
        <v>156</v>
      </c>
      <c r="M459" s="26">
        <f t="shared" ref="M459" si="192">J459+H459+I459*C449</f>
        <v>65</v>
      </c>
    </row>
    <row r="460" spans="2:13">
      <c r="G460" s="26" t="s">
        <v>225</v>
      </c>
      <c r="H460" s="26" t="s">
        <v>34</v>
      </c>
      <c r="I460" s="26" t="s">
        <v>226</v>
      </c>
      <c r="J460" s="26" t="s">
        <v>227</v>
      </c>
    </row>
    <row r="461" spans="2:13">
      <c r="E461" s="26">
        <f t="shared" si="166"/>
        <v>461</v>
      </c>
      <c r="F461" s="9" t="s">
        <v>136</v>
      </c>
      <c r="M461" s="26" t="s">
        <v>118</v>
      </c>
    </row>
    <row r="462" spans="2:13">
      <c r="E462" s="26">
        <f t="shared" si="166"/>
        <v>462</v>
      </c>
      <c r="F462" s="9" t="s">
        <v>220</v>
      </c>
      <c r="M462" s="26" t="s">
        <v>106</v>
      </c>
    </row>
    <row r="463" spans="2:13">
      <c r="D463" s="26" t="str">
        <f t="shared" ref="D463" si="193">IF(OR(F463="ID",F463="符卡",F463="對話",F463="標題"),M463,"")</f>
        <v/>
      </c>
      <c r="E463" s="26">
        <f t="shared" si="166"/>
        <v>463</v>
      </c>
      <c r="F463" s="9" t="s">
        <v>127</v>
      </c>
      <c r="M463" s="26" t="s">
        <v>222</v>
      </c>
    </row>
    <row r="464" spans="2:13">
      <c r="B464" s="26">
        <f t="shared" ref="B464" si="194">QUOTIENT( D464-1,G465)+1</f>
        <v>2</v>
      </c>
      <c r="C464" s="26">
        <f t="shared" ref="C464" si="195">D464-(B464-1)*G465</f>
        <v>2</v>
      </c>
      <c r="D464" s="26">
        <f>COUNT($D$328:$D463)+1</f>
        <v>10</v>
      </c>
    </row>
    <row r="465" spans="2:13">
      <c r="D465" s="26" t="str">
        <f t="shared" ref="D465" si="196">IF(OR(F465="ID",F465="符卡",F465="對話",F465="標題"),M465,"")</f>
        <v/>
      </c>
      <c r="E465" s="26">
        <f t="shared" si="144"/>
        <v>465</v>
      </c>
      <c r="F465" s="9" t="s">
        <v>124</v>
      </c>
      <c r="G465" s="26">
        <v>8</v>
      </c>
      <c r="H465" s="26">
        <v>2</v>
      </c>
      <c r="J465" s="26" t="s">
        <v>306</v>
      </c>
      <c r="M465" s="26">
        <f t="shared" ref="M465" si="197">$J$330+D464</f>
        <v>160</v>
      </c>
    </row>
    <row r="466" spans="2:13">
      <c r="E466" s="26">
        <f t="shared" si="144"/>
        <v>466</v>
      </c>
      <c r="F466" s="9" t="s">
        <v>180</v>
      </c>
      <c r="M466" s="26" t="s">
        <v>40</v>
      </c>
    </row>
    <row r="467" spans="2:13">
      <c r="E467" s="26">
        <f t="shared" si="144"/>
        <v>467</v>
      </c>
      <c r="F467" s="9" t="s">
        <v>182</v>
      </c>
      <c r="M467" s="26" t="s">
        <v>113</v>
      </c>
    </row>
    <row r="468" spans="2:13">
      <c r="E468" s="26">
        <f t="shared" si="144"/>
        <v>468</v>
      </c>
      <c r="F468" s="9" t="s">
        <v>176</v>
      </c>
      <c r="M468" s="26" t="s">
        <v>50</v>
      </c>
    </row>
    <row r="469" spans="2:13">
      <c r="E469" s="26">
        <f t="shared" si="144"/>
        <v>469</v>
      </c>
      <c r="F469" s="9" t="s">
        <v>185</v>
      </c>
      <c r="M469" s="26">
        <f t="shared" ref="M469" si="198">C464*3</f>
        <v>6</v>
      </c>
    </row>
    <row r="470" spans="2:13">
      <c r="D470" s="26" t="str">
        <f t="shared" ref="D470:D474" si="199">IF(OR(F470="ID",F470="符卡",F470="對話",F470="標題"),M470,"")</f>
        <v/>
      </c>
      <c r="E470" s="26">
        <f t="shared" si="144"/>
        <v>470</v>
      </c>
      <c r="F470" s="9" t="s">
        <v>29</v>
      </c>
      <c r="M470" s="26" t="s">
        <v>221</v>
      </c>
    </row>
    <row r="471" spans="2:13">
      <c r="D471" s="26" t="str">
        <f t="shared" si="199"/>
        <v/>
      </c>
      <c r="E471" s="26">
        <f t="shared" si="144"/>
        <v>471</v>
      </c>
      <c r="F471" s="9" t="s">
        <v>112</v>
      </c>
      <c r="K471" s="9" t="s">
        <v>159</v>
      </c>
      <c r="M471" s="26" t="s">
        <v>39</v>
      </c>
    </row>
    <row r="472" spans="2:13">
      <c r="D472" s="26" t="str">
        <f t="shared" si="199"/>
        <v/>
      </c>
      <c r="E472" s="26">
        <f t="shared" si="144"/>
        <v>472</v>
      </c>
      <c r="F472" s="9" t="s">
        <v>186</v>
      </c>
      <c r="G472" s="26" t="b">
        <f t="shared" ref="G472" si="200">MOD(B464,2)=0</f>
        <v>1</v>
      </c>
      <c r="H472" s="26" t="s">
        <v>223</v>
      </c>
      <c r="I472" s="26" t="s">
        <v>224</v>
      </c>
      <c r="K472" s="9" t="s">
        <v>158</v>
      </c>
      <c r="M472" s="26" t="str">
        <f t="shared" ref="M472" si="201">IF(G472,$H$337,$I$337)</f>
        <v>-0.5,-0.3</v>
      </c>
    </row>
    <row r="473" spans="2:13">
      <c r="D473" s="26" t="str">
        <f t="shared" si="199"/>
        <v/>
      </c>
      <c r="E473" s="26">
        <f t="shared" ref="E473:E534" si="202">ROW(E473)</f>
        <v>473</v>
      </c>
      <c r="F473" s="9" t="s">
        <v>30</v>
      </c>
      <c r="M473" s="26" t="s">
        <v>42</v>
      </c>
    </row>
    <row r="474" spans="2:13">
      <c r="D474" s="26" t="str">
        <f t="shared" si="199"/>
        <v/>
      </c>
      <c r="E474" s="26">
        <f t="shared" si="202"/>
        <v>474</v>
      </c>
      <c r="F474" s="9" t="s">
        <v>31</v>
      </c>
      <c r="G474" s="26" t="b">
        <f t="shared" ref="G474" si="203">MOD(B464,2)=0</f>
        <v>1</v>
      </c>
      <c r="H474" s="26" t="str">
        <f t="shared" ref="H474" si="204">IF(G474,$G$340,$I$340)</f>
        <v>-35</v>
      </c>
      <c r="I474" s="26" t="str">
        <f t="shared" ref="I474" si="205">IF(G474,$H$340,J475)</f>
        <v>10</v>
      </c>
      <c r="J474" s="26">
        <v>90</v>
      </c>
      <c r="L474" s="9" t="s">
        <v>156</v>
      </c>
      <c r="M474" s="26">
        <f t="shared" ref="M474" si="206">J474+H474+I474*C464</f>
        <v>75</v>
      </c>
    </row>
    <row r="475" spans="2:13">
      <c r="G475" s="26" t="s">
        <v>225</v>
      </c>
      <c r="H475" s="26" t="s">
        <v>34</v>
      </c>
      <c r="I475" s="26" t="s">
        <v>226</v>
      </c>
      <c r="J475" s="26" t="s">
        <v>227</v>
      </c>
    </row>
    <row r="476" spans="2:13">
      <c r="E476" s="26">
        <f t="shared" si="166"/>
        <v>476</v>
      </c>
      <c r="F476" s="9" t="s">
        <v>136</v>
      </c>
      <c r="M476" s="26" t="s">
        <v>118</v>
      </c>
    </row>
    <row r="477" spans="2:13">
      <c r="E477" s="26">
        <f t="shared" si="166"/>
        <v>477</v>
      </c>
      <c r="F477" s="9" t="s">
        <v>220</v>
      </c>
      <c r="M477" s="26" t="s">
        <v>106</v>
      </c>
    </row>
    <row r="478" spans="2:13">
      <c r="D478" s="26" t="str">
        <f t="shared" ref="D478" si="207">IF(OR(F478="ID",F478="符卡",F478="對話",F478="標題"),M478,"")</f>
        <v/>
      </c>
      <c r="E478" s="26">
        <f t="shared" si="166"/>
        <v>478</v>
      </c>
      <c r="F478" s="9" t="s">
        <v>127</v>
      </c>
      <c r="M478" s="26" t="s">
        <v>222</v>
      </c>
    </row>
    <row r="479" spans="2:13">
      <c r="B479" s="26">
        <f t="shared" ref="B479" si="208">QUOTIENT( D479-1,G480)+1</f>
        <v>2</v>
      </c>
      <c r="C479" s="26">
        <f t="shared" ref="C479" si="209">D479-(B479-1)*G480</f>
        <v>3</v>
      </c>
      <c r="D479" s="26">
        <f>COUNT($D$328:$D478)+1</f>
        <v>11</v>
      </c>
    </row>
    <row r="480" spans="2:13">
      <c r="D480" s="26" t="str">
        <f t="shared" ref="D480" si="210">IF(OR(F480="ID",F480="符卡",F480="對話",F480="標題"),M480,"")</f>
        <v/>
      </c>
      <c r="E480" s="26">
        <f t="shared" si="202"/>
        <v>480</v>
      </c>
      <c r="F480" s="9" t="s">
        <v>124</v>
      </c>
      <c r="G480" s="26">
        <v>8</v>
      </c>
      <c r="H480" s="26">
        <v>2</v>
      </c>
      <c r="J480" s="26" t="s">
        <v>306</v>
      </c>
      <c r="M480" s="26">
        <f t="shared" ref="M480" si="211">$J$330+D479</f>
        <v>161</v>
      </c>
    </row>
    <row r="481" spans="2:13">
      <c r="E481" s="26">
        <f t="shared" si="202"/>
        <v>481</v>
      </c>
      <c r="F481" s="9" t="s">
        <v>180</v>
      </c>
      <c r="M481" s="26" t="s">
        <v>40</v>
      </c>
    </row>
    <row r="482" spans="2:13">
      <c r="E482" s="26">
        <f t="shared" si="202"/>
        <v>482</v>
      </c>
      <c r="F482" s="9" t="s">
        <v>182</v>
      </c>
      <c r="M482" s="26" t="s">
        <v>113</v>
      </c>
    </row>
    <row r="483" spans="2:13">
      <c r="E483" s="26">
        <f t="shared" si="202"/>
        <v>483</v>
      </c>
      <c r="F483" s="9" t="s">
        <v>176</v>
      </c>
      <c r="M483" s="26" t="s">
        <v>50</v>
      </c>
    </row>
    <row r="484" spans="2:13">
      <c r="E484" s="26">
        <f t="shared" si="202"/>
        <v>484</v>
      </c>
      <c r="F484" s="9" t="s">
        <v>185</v>
      </c>
      <c r="M484" s="26">
        <f t="shared" ref="M484" si="212">C479*3</f>
        <v>9</v>
      </c>
    </row>
    <row r="485" spans="2:13">
      <c r="D485" s="26" t="str">
        <f t="shared" ref="D485:D489" si="213">IF(OR(F485="ID",F485="符卡",F485="對話",F485="標題"),M485,"")</f>
        <v/>
      </c>
      <c r="E485" s="26">
        <f t="shared" si="202"/>
        <v>485</v>
      </c>
      <c r="F485" s="9" t="s">
        <v>29</v>
      </c>
      <c r="M485" s="26" t="s">
        <v>221</v>
      </c>
    </row>
    <row r="486" spans="2:13">
      <c r="D486" s="26" t="str">
        <f t="shared" si="213"/>
        <v/>
      </c>
      <c r="E486" s="26">
        <f t="shared" si="202"/>
        <v>486</v>
      </c>
      <c r="F486" s="9" t="s">
        <v>112</v>
      </c>
      <c r="K486" s="9" t="s">
        <v>159</v>
      </c>
      <c r="M486" s="26" t="s">
        <v>39</v>
      </c>
    </row>
    <row r="487" spans="2:13">
      <c r="D487" s="26" t="str">
        <f t="shared" si="213"/>
        <v/>
      </c>
      <c r="E487" s="26">
        <f t="shared" si="202"/>
        <v>487</v>
      </c>
      <c r="F487" s="9" t="s">
        <v>186</v>
      </c>
      <c r="G487" s="26" t="b">
        <f t="shared" ref="G487" si="214">MOD(B479,2)=0</f>
        <v>1</v>
      </c>
      <c r="H487" s="26" t="s">
        <v>223</v>
      </c>
      <c r="I487" s="26" t="s">
        <v>224</v>
      </c>
      <c r="K487" s="9" t="s">
        <v>158</v>
      </c>
      <c r="M487" s="26" t="str">
        <f t="shared" ref="M487" si="215">IF(G487,$H$337,$I$337)</f>
        <v>-0.5,-0.3</v>
      </c>
    </row>
    <row r="488" spans="2:13">
      <c r="D488" s="26" t="str">
        <f t="shared" si="213"/>
        <v/>
      </c>
      <c r="E488" s="26">
        <f t="shared" si="202"/>
        <v>488</v>
      </c>
      <c r="F488" s="9" t="s">
        <v>30</v>
      </c>
      <c r="M488" s="26" t="s">
        <v>42</v>
      </c>
    </row>
    <row r="489" spans="2:13">
      <c r="D489" s="26" t="str">
        <f t="shared" si="213"/>
        <v/>
      </c>
      <c r="E489" s="26">
        <f t="shared" si="202"/>
        <v>489</v>
      </c>
      <c r="F489" s="9" t="s">
        <v>31</v>
      </c>
      <c r="G489" s="26" t="b">
        <f t="shared" ref="G489" si="216">MOD(B479,2)=0</f>
        <v>1</v>
      </c>
      <c r="H489" s="26" t="str">
        <f t="shared" ref="H489" si="217">IF(G489,$G$340,$I$340)</f>
        <v>-35</v>
      </c>
      <c r="I489" s="26" t="str">
        <f t="shared" ref="I489" si="218">IF(G489,$H$340,J490)</f>
        <v>10</v>
      </c>
      <c r="J489" s="26">
        <v>90</v>
      </c>
      <c r="L489" s="9" t="s">
        <v>156</v>
      </c>
      <c r="M489" s="26">
        <f t="shared" ref="M489" si="219">J489+H489+I489*C479</f>
        <v>85</v>
      </c>
    </row>
    <row r="490" spans="2:13">
      <c r="G490" s="26" t="s">
        <v>225</v>
      </c>
      <c r="H490" s="26" t="s">
        <v>34</v>
      </c>
      <c r="I490" s="26" t="s">
        <v>226</v>
      </c>
      <c r="J490" s="26" t="s">
        <v>227</v>
      </c>
    </row>
    <row r="491" spans="2:13">
      <c r="E491" s="26">
        <f t="shared" si="166"/>
        <v>491</v>
      </c>
      <c r="F491" s="9" t="s">
        <v>136</v>
      </c>
      <c r="M491" s="26" t="s">
        <v>118</v>
      </c>
    </row>
    <row r="492" spans="2:13">
      <c r="E492" s="26">
        <f t="shared" si="166"/>
        <v>492</v>
      </c>
      <c r="F492" s="9" t="s">
        <v>220</v>
      </c>
      <c r="M492" s="26" t="s">
        <v>106</v>
      </c>
    </row>
    <row r="493" spans="2:13">
      <c r="D493" s="26" t="str">
        <f t="shared" ref="D493" si="220">IF(OR(F493="ID",F493="符卡",F493="對話",F493="標題"),M493,"")</f>
        <v/>
      </c>
      <c r="E493" s="26">
        <f t="shared" si="166"/>
        <v>493</v>
      </c>
      <c r="F493" s="9" t="s">
        <v>127</v>
      </c>
      <c r="M493" s="26" t="s">
        <v>222</v>
      </c>
    </row>
    <row r="494" spans="2:13">
      <c r="B494" s="26">
        <f t="shared" ref="B494" si="221">QUOTIENT( D494-1,G495)+1</f>
        <v>2</v>
      </c>
      <c r="C494" s="26">
        <f t="shared" ref="C494" si="222">D494-(B494-1)*G495</f>
        <v>4</v>
      </c>
      <c r="D494" s="26">
        <f>COUNT($D$328:$D493)+1</f>
        <v>12</v>
      </c>
    </row>
    <row r="495" spans="2:13">
      <c r="D495" s="26" t="str">
        <f t="shared" ref="D495" si="223">IF(OR(F495="ID",F495="符卡",F495="對話",F495="標題"),M495,"")</f>
        <v/>
      </c>
      <c r="E495" s="26">
        <f t="shared" si="202"/>
        <v>495</v>
      </c>
      <c r="F495" s="9" t="s">
        <v>124</v>
      </c>
      <c r="G495" s="26">
        <v>8</v>
      </c>
      <c r="H495" s="26">
        <v>2</v>
      </c>
      <c r="J495" s="26" t="s">
        <v>306</v>
      </c>
      <c r="M495" s="26">
        <f t="shared" ref="M495" si="224">$J$330+D494</f>
        <v>162</v>
      </c>
    </row>
    <row r="496" spans="2:13">
      <c r="E496" s="26">
        <f t="shared" si="202"/>
        <v>496</v>
      </c>
      <c r="F496" s="9" t="s">
        <v>180</v>
      </c>
      <c r="M496" s="26" t="s">
        <v>40</v>
      </c>
    </row>
    <row r="497" spans="2:13">
      <c r="E497" s="26">
        <f t="shared" si="202"/>
        <v>497</v>
      </c>
      <c r="F497" s="9" t="s">
        <v>182</v>
      </c>
      <c r="M497" s="26" t="s">
        <v>113</v>
      </c>
    </row>
    <row r="498" spans="2:13">
      <c r="E498" s="26">
        <f t="shared" si="202"/>
        <v>498</v>
      </c>
      <c r="F498" s="9" t="s">
        <v>176</v>
      </c>
      <c r="M498" s="26" t="s">
        <v>50</v>
      </c>
    </row>
    <row r="499" spans="2:13">
      <c r="E499" s="26">
        <f t="shared" si="202"/>
        <v>499</v>
      </c>
      <c r="F499" s="9" t="s">
        <v>185</v>
      </c>
      <c r="M499" s="26">
        <f t="shared" ref="M499" si="225">C494*3</f>
        <v>12</v>
      </c>
    </row>
    <row r="500" spans="2:13">
      <c r="D500" s="26" t="str">
        <f t="shared" ref="D500:D504" si="226">IF(OR(F500="ID",F500="符卡",F500="對話",F500="標題"),M500,"")</f>
        <v/>
      </c>
      <c r="E500" s="26">
        <f t="shared" si="202"/>
        <v>500</v>
      </c>
      <c r="F500" s="9" t="s">
        <v>29</v>
      </c>
      <c r="M500" s="26" t="s">
        <v>221</v>
      </c>
    </row>
    <row r="501" spans="2:13">
      <c r="D501" s="26" t="str">
        <f t="shared" si="226"/>
        <v/>
      </c>
      <c r="E501" s="26">
        <f t="shared" si="202"/>
        <v>501</v>
      </c>
      <c r="F501" s="9" t="s">
        <v>112</v>
      </c>
      <c r="K501" s="9" t="s">
        <v>159</v>
      </c>
      <c r="M501" s="26" t="s">
        <v>39</v>
      </c>
    </row>
    <row r="502" spans="2:13">
      <c r="D502" s="26" t="str">
        <f t="shared" si="226"/>
        <v/>
      </c>
      <c r="E502" s="26">
        <f t="shared" si="202"/>
        <v>502</v>
      </c>
      <c r="F502" s="9" t="s">
        <v>186</v>
      </c>
      <c r="G502" s="26" t="b">
        <f t="shared" ref="G502" si="227">MOD(B494,2)=0</f>
        <v>1</v>
      </c>
      <c r="H502" s="26" t="s">
        <v>223</v>
      </c>
      <c r="I502" s="26" t="s">
        <v>224</v>
      </c>
      <c r="K502" s="9" t="s">
        <v>158</v>
      </c>
      <c r="M502" s="26" t="str">
        <f t="shared" ref="M502" si="228">IF(G502,$H$337,$I$337)</f>
        <v>-0.5,-0.3</v>
      </c>
    </row>
    <row r="503" spans="2:13">
      <c r="D503" s="26" t="str">
        <f t="shared" si="226"/>
        <v/>
      </c>
      <c r="E503" s="26">
        <f t="shared" si="202"/>
        <v>503</v>
      </c>
      <c r="F503" s="9" t="s">
        <v>30</v>
      </c>
      <c r="M503" s="26" t="s">
        <v>42</v>
      </c>
    </row>
    <row r="504" spans="2:13">
      <c r="D504" s="26" t="str">
        <f t="shared" si="226"/>
        <v/>
      </c>
      <c r="E504" s="26">
        <f t="shared" si="202"/>
        <v>504</v>
      </c>
      <c r="F504" s="9" t="s">
        <v>31</v>
      </c>
      <c r="G504" s="26" t="b">
        <f t="shared" ref="G504" si="229">MOD(B494,2)=0</f>
        <v>1</v>
      </c>
      <c r="H504" s="26" t="str">
        <f t="shared" ref="H504" si="230">IF(G504,$G$340,$I$340)</f>
        <v>-35</v>
      </c>
      <c r="I504" s="26" t="str">
        <f t="shared" ref="I504" si="231">IF(G504,$H$340,J505)</f>
        <v>10</v>
      </c>
      <c r="J504" s="26">
        <v>90</v>
      </c>
      <c r="L504" s="9" t="s">
        <v>156</v>
      </c>
      <c r="M504" s="26">
        <f t="shared" ref="M504" si="232">J504+H504+I504*C494</f>
        <v>95</v>
      </c>
    </row>
    <row r="505" spans="2:13">
      <c r="G505" s="26" t="s">
        <v>225</v>
      </c>
      <c r="H505" s="26" t="s">
        <v>34</v>
      </c>
      <c r="I505" s="26" t="s">
        <v>226</v>
      </c>
      <c r="J505" s="26" t="s">
        <v>227</v>
      </c>
    </row>
    <row r="506" spans="2:13">
      <c r="E506" s="26">
        <f t="shared" ref="E506:E568" si="233">ROW(E506)</f>
        <v>506</v>
      </c>
      <c r="F506" s="9" t="s">
        <v>136</v>
      </c>
      <c r="M506" s="26" t="s">
        <v>118</v>
      </c>
    </row>
    <row r="507" spans="2:13">
      <c r="E507" s="26">
        <f t="shared" si="233"/>
        <v>507</v>
      </c>
      <c r="F507" s="9" t="s">
        <v>220</v>
      </c>
      <c r="M507" s="26" t="s">
        <v>106</v>
      </c>
    </row>
    <row r="508" spans="2:13">
      <c r="D508" s="26" t="str">
        <f t="shared" ref="D508" si="234">IF(OR(F508="ID",F508="符卡",F508="對話",F508="標題"),M508,"")</f>
        <v/>
      </c>
      <c r="E508" s="26">
        <f t="shared" si="233"/>
        <v>508</v>
      </c>
      <c r="F508" s="9" t="s">
        <v>127</v>
      </c>
      <c r="M508" s="26" t="s">
        <v>222</v>
      </c>
    </row>
    <row r="509" spans="2:13">
      <c r="B509" s="26">
        <f t="shared" ref="B509" si="235">QUOTIENT( D509-1,G510)+1</f>
        <v>2</v>
      </c>
      <c r="C509" s="26">
        <f t="shared" ref="C509" si="236">D509-(B509-1)*G510</f>
        <v>5</v>
      </c>
      <c r="D509" s="26">
        <f>COUNT($D$328:$D508)+1</f>
        <v>13</v>
      </c>
    </row>
    <row r="510" spans="2:13">
      <c r="D510" s="26" t="str">
        <f t="shared" ref="D510" si="237">IF(OR(F510="ID",F510="符卡",F510="對話",F510="標題"),M510,"")</f>
        <v/>
      </c>
      <c r="E510" s="26">
        <f t="shared" si="202"/>
        <v>510</v>
      </c>
      <c r="F510" s="9" t="s">
        <v>124</v>
      </c>
      <c r="G510" s="26">
        <v>8</v>
      </c>
      <c r="H510" s="26">
        <v>2</v>
      </c>
      <c r="J510" s="26" t="s">
        <v>306</v>
      </c>
      <c r="M510" s="26">
        <f t="shared" ref="M510" si="238">$J$330+D509</f>
        <v>163</v>
      </c>
    </row>
    <row r="511" spans="2:13">
      <c r="E511" s="26">
        <f t="shared" si="202"/>
        <v>511</v>
      </c>
      <c r="F511" s="9" t="s">
        <v>180</v>
      </c>
      <c r="M511" s="26" t="s">
        <v>40</v>
      </c>
    </row>
    <row r="512" spans="2:13">
      <c r="E512" s="26">
        <f t="shared" si="202"/>
        <v>512</v>
      </c>
      <c r="F512" s="9" t="s">
        <v>182</v>
      </c>
      <c r="M512" s="26" t="s">
        <v>113</v>
      </c>
    </row>
    <row r="513" spans="2:13">
      <c r="E513" s="26">
        <f t="shared" si="202"/>
        <v>513</v>
      </c>
      <c r="F513" s="9" t="s">
        <v>176</v>
      </c>
      <c r="M513" s="26" t="s">
        <v>50</v>
      </c>
    </row>
    <row r="514" spans="2:13">
      <c r="E514" s="26">
        <f t="shared" si="202"/>
        <v>514</v>
      </c>
      <c r="F514" s="9" t="s">
        <v>185</v>
      </c>
      <c r="M514" s="26">
        <f t="shared" ref="M514" si="239">C509*3</f>
        <v>15</v>
      </c>
    </row>
    <row r="515" spans="2:13">
      <c r="D515" s="26" t="str">
        <f t="shared" ref="D515:D519" si="240">IF(OR(F515="ID",F515="符卡",F515="對話",F515="標題"),M515,"")</f>
        <v/>
      </c>
      <c r="E515" s="26">
        <f t="shared" si="202"/>
        <v>515</v>
      </c>
      <c r="F515" s="9" t="s">
        <v>29</v>
      </c>
      <c r="M515" s="26" t="s">
        <v>221</v>
      </c>
    </row>
    <row r="516" spans="2:13">
      <c r="D516" s="26" t="str">
        <f t="shared" si="240"/>
        <v/>
      </c>
      <c r="E516" s="26">
        <f t="shared" si="202"/>
        <v>516</v>
      </c>
      <c r="F516" s="9" t="s">
        <v>112</v>
      </c>
      <c r="K516" s="9" t="s">
        <v>159</v>
      </c>
      <c r="M516" s="26" t="s">
        <v>39</v>
      </c>
    </row>
    <row r="517" spans="2:13">
      <c r="D517" s="26" t="str">
        <f t="shared" si="240"/>
        <v/>
      </c>
      <c r="E517" s="26">
        <f t="shared" si="202"/>
        <v>517</v>
      </c>
      <c r="F517" s="9" t="s">
        <v>186</v>
      </c>
      <c r="G517" s="26" t="b">
        <f t="shared" ref="G517" si="241">MOD(B509,2)=0</f>
        <v>1</v>
      </c>
      <c r="H517" s="26" t="s">
        <v>223</v>
      </c>
      <c r="I517" s="26" t="s">
        <v>224</v>
      </c>
      <c r="K517" s="9" t="s">
        <v>158</v>
      </c>
      <c r="M517" s="26" t="str">
        <f t="shared" ref="M517" si="242">IF(G517,$H$337,$I$337)</f>
        <v>-0.5,-0.3</v>
      </c>
    </row>
    <row r="518" spans="2:13">
      <c r="D518" s="26" t="str">
        <f t="shared" si="240"/>
        <v/>
      </c>
      <c r="E518" s="26">
        <f t="shared" si="202"/>
        <v>518</v>
      </c>
      <c r="F518" s="9" t="s">
        <v>30</v>
      </c>
      <c r="M518" s="26" t="s">
        <v>42</v>
      </c>
    </row>
    <row r="519" spans="2:13">
      <c r="D519" s="26" t="str">
        <f t="shared" si="240"/>
        <v/>
      </c>
      <c r="E519" s="26">
        <f t="shared" si="202"/>
        <v>519</v>
      </c>
      <c r="F519" s="9" t="s">
        <v>31</v>
      </c>
      <c r="G519" s="26" t="b">
        <f t="shared" ref="G519" si="243">MOD(B509,2)=0</f>
        <v>1</v>
      </c>
      <c r="H519" s="26" t="str">
        <f t="shared" ref="H519" si="244">IF(G519,$G$340,$I$340)</f>
        <v>-35</v>
      </c>
      <c r="I519" s="26" t="str">
        <f t="shared" ref="I519" si="245">IF(G519,$H$340,J520)</f>
        <v>10</v>
      </c>
      <c r="J519" s="26">
        <v>90</v>
      </c>
      <c r="L519" s="9" t="s">
        <v>156</v>
      </c>
      <c r="M519" s="26">
        <f t="shared" ref="M519" si="246">J519+H519+I519*C509</f>
        <v>105</v>
      </c>
    </row>
    <row r="520" spans="2:13">
      <c r="G520" s="26" t="s">
        <v>225</v>
      </c>
      <c r="H520" s="26" t="s">
        <v>34</v>
      </c>
      <c r="I520" s="26" t="s">
        <v>226</v>
      </c>
      <c r="J520" s="26" t="s">
        <v>227</v>
      </c>
    </row>
    <row r="521" spans="2:13">
      <c r="E521" s="26">
        <f t="shared" si="233"/>
        <v>521</v>
      </c>
      <c r="F521" s="9" t="s">
        <v>136</v>
      </c>
      <c r="M521" s="26" t="s">
        <v>118</v>
      </c>
    </row>
    <row r="522" spans="2:13">
      <c r="E522" s="26">
        <f t="shared" si="233"/>
        <v>522</v>
      </c>
      <c r="F522" s="9" t="s">
        <v>220</v>
      </c>
      <c r="M522" s="26" t="s">
        <v>106</v>
      </c>
    </row>
    <row r="523" spans="2:13">
      <c r="D523" s="26" t="str">
        <f t="shared" ref="D523" si="247">IF(OR(F523="ID",F523="符卡",F523="對話",F523="標題"),M523,"")</f>
        <v/>
      </c>
      <c r="E523" s="26">
        <f t="shared" si="233"/>
        <v>523</v>
      </c>
      <c r="F523" s="9" t="s">
        <v>127</v>
      </c>
      <c r="M523" s="26" t="s">
        <v>222</v>
      </c>
    </row>
    <row r="524" spans="2:13">
      <c r="B524" s="26">
        <f t="shared" ref="B524" si="248">QUOTIENT( D524-1,G525)+1</f>
        <v>2</v>
      </c>
      <c r="C524" s="26">
        <f t="shared" ref="C524" si="249">D524-(B524-1)*G525</f>
        <v>6</v>
      </c>
      <c r="D524" s="26">
        <f>COUNT($D$328:$D523)+1</f>
        <v>14</v>
      </c>
    </row>
    <row r="525" spans="2:13">
      <c r="D525" s="26" t="str">
        <f t="shared" ref="D525" si="250">IF(OR(F525="ID",F525="符卡",F525="對話",F525="標題"),M525,"")</f>
        <v/>
      </c>
      <c r="E525" s="26">
        <f t="shared" si="202"/>
        <v>525</v>
      </c>
      <c r="F525" s="9" t="s">
        <v>124</v>
      </c>
      <c r="G525" s="26">
        <v>8</v>
      </c>
      <c r="H525" s="26">
        <v>2</v>
      </c>
      <c r="J525" s="26" t="s">
        <v>306</v>
      </c>
      <c r="M525" s="26">
        <f t="shared" ref="M525" si="251">$J$330+D524</f>
        <v>164</v>
      </c>
    </row>
    <row r="526" spans="2:13">
      <c r="E526" s="26">
        <f t="shared" si="202"/>
        <v>526</v>
      </c>
      <c r="F526" s="9" t="s">
        <v>180</v>
      </c>
      <c r="M526" s="26" t="s">
        <v>40</v>
      </c>
    </row>
    <row r="527" spans="2:13">
      <c r="E527" s="26">
        <f t="shared" si="202"/>
        <v>527</v>
      </c>
      <c r="F527" s="9" t="s">
        <v>182</v>
      </c>
      <c r="M527" s="26" t="s">
        <v>113</v>
      </c>
    </row>
    <row r="528" spans="2:13">
      <c r="E528" s="26">
        <f t="shared" si="202"/>
        <v>528</v>
      </c>
      <c r="F528" s="9" t="s">
        <v>176</v>
      </c>
      <c r="M528" s="26" t="s">
        <v>50</v>
      </c>
    </row>
    <row r="529" spans="2:13">
      <c r="E529" s="26">
        <f t="shared" si="202"/>
        <v>529</v>
      </c>
      <c r="F529" s="9" t="s">
        <v>185</v>
      </c>
      <c r="M529" s="26">
        <f t="shared" ref="M529" si="252">C524*3</f>
        <v>18</v>
      </c>
    </row>
    <row r="530" spans="2:13">
      <c r="D530" s="26" t="str">
        <f t="shared" ref="D530:D534" si="253">IF(OR(F530="ID",F530="符卡",F530="對話",F530="標題"),M530,"")</f>
        <v/>
      </c>
      <c r="E530" s="26">
        <f t="shared" si="202"/>
        <v>530</v>
      </c>
      <c r="F530" s="9" t="s">
        <v>29</v>
      </c>
      <c r="M530" s="26" t="s">
        <v>221</v>
      </c>
    </row>
    <row r="531" spans="2:13">
      <c r="D531" s="26" t="str">
        <f t="shared" si="253"/>
        <v/>
      </c>
      <c r="E531" s="26">
        <f t="shared" si="202"/>
        <v>531</v>
      </c>
      <c r="F531" s="9" t="s">
        <v>112</v>
      </c>
      <c r="K531" s="9" t="s">
        <v>159</v>
      </c>
      <c r="M531" s="26" t="s">
        <v>39</v>
      </c>
    </row>
    <row r="532" spans="2:13">
      <c r="D532" s="26" t="str">
        <f t="shared" si="253"/>
        <v/>
      </c>
      <c r="E532" s="26">
        <f t="shared" si="202"/>
        <v>532</v>
      </c>
      <c r="F532" s="9" t="s">
        <v>186</v>
      </c>
      <c r="G532" s="26" t="b">
        <f t="shared" ref="G532" si="254">MOD(B524,2)=0</f>
        <v>1</v>
      </c>
      <c r="H532" s="26" t="s">
        <v>223</v>
      </c>
      <c r="I532" s="26" t="s">
        <v>224</v>
      </c>
      <c r="K532" s="9" t="s">
        <v>158</v>
      </c>
      <c r="M532" s="26" t="str">
        <f t="shared" ref="M532" si="255">IF(G532,$H$337,$I$337)</f>
        <v>-0.5,-0.3</v>
      </c>
    </row>
    <row r="533" spans="2:13">
      <c r="D533" s="26" t="str">
        <f t="shared" si="253"/>
        <v/>
      </c>
      <c r="E533" s="26">
        <f t="shared" si="202"/>
        <v>533</v>
      </c>
      <c r="F533" s="9" t="s">
        <v>30</v>
      </c>
      <c r="M533" s="26" t="s">
        <v>42</v>
      </c>
    </row>
    <row r="534" spans="2:13">
      <c r="D534" s="26" t="str">
        <f t="shared" si="253"/>
        <v/>
      </c>
      <c r="E534" s="26">
        <f t="shared" si="202"/>
        <v>534</v>
      </c>
      <c r="F534" s="9" t="s">
        <v>31</v>
      </c>
      <c r="G534" s="26" t="b">
        <f t="shared" ref="G534" si="256">MOD(B524,2)=0</f>
        <v>1</v>
      </c>
      <c r="H534" s="26" t="str">
        <f t="shared" ref="H534" si="257">IF(G534,$G$340,$I$340)</f>
        <v>-35</v>
      </c>
      <c r="I534" s="26" t="str">
        <f t="shared" ref="I534" si="258">IF(G534,$H$340,J535)</f>
        <v>10</v>
      </c>
      <c r="J534" s="26">
        <v>90</v>
      </c>
      <c r="L534" s="9" t="s">
        <v>156</v>
      </c>
      <c r="M534" s="26">
        <f t="shared" ref="M534" si="259">J534+H534+I534*C524</f>
        <v>115</v>
      </c>
    </row>
    <row r="535" spans="2:13">
      <c r="G535" s="26" t="s">
        <v>225</v>
      </c>
      <c r="H535" s="26" t="s">
        <v>34</v>
      </c>
      <c r="I535" s="26" t="s">
        <v>226</v>
      </c>
      <c r="J535" s="26" t="s">
        <v>227</v>
      </c>
    </row>
    <row r="536" spans="2:13">
      <c r="E536" s="26">
        <f t="shared" si="233"/>
        <v>536</v>
      </c>
      <c r="F536" s="9" t="s">
        <v>136</v>
      </c>
      <c r="M536" s="26" t="s">
        <v>118</v>
      </c>
    </row>
    <row r="537" spans="2:13">
      <c r="E537" s="26">
        <f t="shared" si="233"/>
        <v>537</v>
      </c>
      <c r="F537" s="9" t="s">
        <v>220</v>
      </c>
      <c r="M537" s="26" t="s">
        <v>106</v>
      </c>
    </row>
    <row r="538" spans="2:13">
      <c r="D538" s="26" t="str">
        <f t="shared" ref="D538" si="260">IF(OR(F538="ID",F538="符卡",F538="對話",F538="標題"),M538,"")</f>
        <v/>
      </c>
      <c r="E538" s="26">
        <f t="shared" si="233"/>
        <v>538</v>
      </c>
      <c r="F538" s="9" t="s">
        <v>127</v>
      </c>
      <c r="M538" s="26" t="s">
        <v>222</v>
      </c>
    </row>
    <row r="539" spans="2:13">
      <c r="B539" s="26">
        <f t="shared" ref="B539" si="261">QUOTIENT( D539-1,G540)+1</f>
        <v>2</v>
      </c>
      <c r="C539" s="26">
        <f t="shared" ref="C539" si="262">D539-(B539-1)*G540</f>
        <v>7</v>
      </c>
      <c r="D539" s="26">
        <f>COUNT($D$328:$D538)+1</f>
        <v>15</v>
      </c>
    </row>
    <row r="540" spans="2:13">
      <c r="D540" s="26" t="str">
        <f t="shared" ref="D540" si="263">IF(OR(F540="ID",F540="符卡",F540="對話",F540="標題"),M540,"")</f>
        <v/>
      </c>
      <c r="E540" s="26">
        <f t="shared" ref="E540:E564" si="264">ROW(E540)</f>
        <v>540</v>
      </c>
      <c r="F540" s="9" t="s">
        <v>124</v>
      </c>
      <c r="G540" s="26">
        <v>8</v>
      </c>
      <c r="H540" s="26">
        <v>2</v>
      </c>
      <c r="J540" s="26" t="s">
        <v>306</v>
      </c>
      <c r="M540" s="26">
        <f t="shared" ref="M540" si="265">$J$330+D539</f>
        <v>165</v>
      </c>
    </row>
    <row r="541" spans="2:13">
      <c r="E541" s="26">
        <f t="shared" si="264"/>
        <v>541</v>
      </c>
      <c r="F541" s="9" t="s">
        <v>180</v>
      </c>
      <c r="M541" s="26" t="s">
        <v>40</v>
      </c>
    </row>
    <row r="542" spans="2:13">
      <c r="E542" s="26">
        <f t="shared" si="264"/>
        <v>542</v>
      </c>
      <c r="F542" s="9" t="s">
        <v>182</v>
      </c>
      <c r="M542" s="26" t="s">
        <v>113</v>
      </c>
    </row>
    <row r="543" spans="2:13">
      <c r="E543" s="26">
        <f t="shared" si="264"/>
        <v>543</v>
      </c>
      <c r="F543" s="9" t="s">
        <v>176</v>
      </c>
      <c r="M543" s="26" t="s">
        <v>50</v>
      </c>
    </row>
    <row r="544" spans="2:13">
      <c r="E544" s="26">
        <f t="shared" si="264"/>
        <v>544</v>
      </c>
      <c r="F544" s="9" t="s">
        <v>185</v>
      </c>
      <c r="M544" s="26">
        <f t="shared" ref="M544" si="266">C539*3</f>
        <v>21</v>
      </c>
    </row>
    <row r="545" spans="2:13">
      <c r="D545" s="26" t="str">
        <f t="shared" ref="D545:D549" si="267">IF(OR(F545="ID",F545="符卡",F545="對話",F545="標題"),M545,"")</f>
        <v/>
      </c>
      <c r="E545" s="26">
        <f t="shared" si="264"/>
        <v>545</v>
      </c>
      <c r="F545" s="9" t="s">
        <v>29</v>
      </c>
      <c r="M545" s="26" t="s">
        <v>221</v>
      </c>
    </row>
    <row r="546" spans="2:13">
      <c r="D546" s="26" t="str">
        <f t="shared" si="267"/>
        <v/>
      </c>
      <c r="E546" s="26">
        <f t="shared" si="264"/>
        <v>546</v>
      </c>
      <c r="F546" s="9" t="s">
        <v>112</v>
      </c>
      <c r="K546" s="9" t="s">
        <v>159</v>
      </c>
      <c r="M546" s="26" t="s">
        <v>39</v>
      </c>
    </row>
    <row r="547" spans="2:13">
      <c r="D547" s="26" t="str">
        <f t="shared" si="267"/>
        <v/>
      </c>
      <c r="E547" s="26">
        <f t="shared" si="264"/>
        <v>547</v>
      </c>
      <c r="F547" s="9" t="s">
        <v>186</v>
      </c>
      <c r="G547" s="26" t="b">
        <f t="shared" ref="G547" si="268">MOD(B539,2)=0</f>
        <v>1</v>
      </c>
      <c r="H547" s="26" t="s">
        <v>223</v>
      </c>
      <c r="I547" s="26" t="s">
        <v>224</v>
      </c>
      <c r="K547" s="9" t="s">
        <v>158</v>
      </c>
      <c r="M547" s="26" t="str">
        <f t="shared" ref="M547" si="269">IF(G547,$H$337,$I$337)</f>
        <v>-0.5,-0.3</v>
      </c>
    </row>
    <row r="548" spans="2:13">
      <c r="D548" s="26" t="str">
        <f t="shared" si="267"/>
        <v/>
      </c>
      <c r="E548" s="26">
        <f t="shared" si="264"/>
        <v>548</v>
      </c>
      <c r="F548" s="9" t="s">
        <v>30</v>
      </c>
      <c r="M548" s="26" t="s">
        <v>42</v>
      </c>
    </row>
    <row r="549" spans="2:13">
      <c r="D549" s="26" t="str">
        <f t="shared" si="267"/>
        <v/>
      </c>
      <c r="E549" s="26">
        <f t="shared" si="264"/>
        <v>549</v>
      </c>
      <c r="F549" s="9" t="s">
        <v>31</v>
      </c>
      <c r="G549" s="26" t="b">
        <f t="shared" ref="G549" si="270">MOD(B539,2)=0</f>
        <v>1</v>
      </c>
      <c r="H549" s="26" t="str">
        <f t="shared" ref="H549" si="271">IF(G549,$G$340,$I$340)</f>
        <v>-35</v>
      </c>
      <c r="I549" s="26" t="str">
        <f t="shared" ref="I549" si="272">IF(G549,$H$340,J550)</f>
        <v>10</v>
      </c>
      <c r="J549" s="26">
        <v>90</v>
      </c>
      <c r="L549" s="9" t="s">
        <v>156</v>
      </c>
      <c r="M549" s="26">
        <f t="shared" ref="M549" si="273">J549+H549+I549*C539</f>
        <v>125</v>
      </c>
    </row>
    <row r="550" spans="2:13">
      <c r="G550" s="26" t="s">
        <v>225</v>
      </c>
      <c r="H550" s="26" t="s">
        <v>34</v>
      </c>
      <c r="I550" s="26" t="s">
        <v>226</v>
      </c>
      <c r="J550" s="26" t="s">
        <v>227</v>
      </c>
    </row>
    <row r="551" spans="2:13">
      <c r="E551" s="26">
        <f t="shared" si="233"/>
        <v>551</v>
      </c>
      <c r="F551" s="9" t="s">
        <v>136</v>
      </c>
      <c r="M551" s="26" t="s">
        <v>118</v>
      </c>
    </row>
    <row r="552" spans="2:13">
      <c r="E552" s="26">
        <f t="shared" si="233"/>
        <v>552</v>
      </c>
      <c r="F552" s="9" t="s">
        <v>220</v>
      </c>
      <c r="M552" s="26" t="s">
        <v>106</v>
      </c>
    </row>
    <row r="553" spans="2:13">
      <c r="D553" s="26" t="str">
        <f t="shared" ref="D553" si="274">IF(OR(F553="ID",F553="符卡",F553="對話",F553="標題"),M553,"")</f>
        <v/>
      </c>
      <c r="E553" s="26">
        <f t="shared" si="233"/>
        <v>553</v>
      </c>
      <c r="F553" s="9" t="s">
        <v>127</v>
      </c>
      <c r="M553" s="26" t="s">
        <v>222</v>
      </c>
    </row>
    <row r="554" spans="2:13">
      <c r="B554" s="26">
        <f t="shared" ref="B554" si="275">QUOTIENT( D554-1,G555)+1</f>
        <v>2</v>
      </c>
      <c r="C554" s="26">
        <f t="shared" ref="C554" si="276">D554-(B554-1)*G555</f>
        <v>8</v>
      </c>
      <c r="D554" s="26">
        <f>COUNT($D$328:$D553)+1</f>
        <v>16</v>
      </c>
    </row>
    <row r="555" spans="2:13">
      <c r="D555" s="26" t="str">
        <f t="shared" ref="D555" si="277">IF(OR(F555="ID",F555="符卡",F555="對話",F555="標題"),M555,"")</f>
        <v/>
      </c>
      <c r="E555" s="26">
        <f t="shared" si="264"/>
        <v>555</v>
      </c>
      <c r="F555" s="9" t="s">
        <v>124</v>
      </c>
      <c r="G555" s="26">
        <v>8</v>
      </c>
      <c r="H555" s="26">
        <v>2</v>
      </c>
      <c r="J555" s="26" t="s">
        <v>306</v>
      </c>
      <c r="M555" s="26">
        <f t="shared" ref="M555" si="278">$J$330+D554</f>
        <v>166</v>
      </c>
    </row>
    <row r="556" spans="2:13">
      <c r="E556" s="26">
        <f t="shared" si="264"/>
        <v>556</v>
      </c>
      <c r="F556" s="9" t="s">
        <v>180</v>
      </c>
      <c r="M556" s="26" t="s">
        <v>40</v>
      </c>
    </row>
    <row r="557" spans="2:13">
      <c r="E557" s="26">
        <f t="shared" si="264"/>
        <v>557</v>
      </c>
      <c r="F557" s="9" t="s">
        <v>182</v>
      </c>
      <c r="M557" s="26" t="s">
        <v>113</v>
      </c>
    </row>
    <row r="558" spans="2:13">
      <c r="E558" s="26">
        <f t="shared" si="264"/>
        <v>558</v>
      </c>
      <c r="F558" s="9" t="s">
        <v>176</v>
      </c>
      <c r="M558" s="26" t="s">
        <v>50</v>
      </c>
    </row>
    <row r="559" spans="2:13">
      <c r="E559" s="26">
        <f t="shared" si="264"/>
        <v>559</v>
      </c>
      <c r="F559" s="9" t="s">
        <v>185</v>
      </c>
      <c r="M559" s="26">
        <f t="shared" ref="M559" si="279">C554*3</f>
        <v>24</v>
      </c>
    </row>
    <row r="560" spans="2:13">
      <c r="D560" s="26" t="str">
        <f t="shared" ref="D560:D564" si="280">IF(OR(F560="ID",F560="符卡",F560="對話",F560="標題"),M560,"")</f>
        <v/>
      </c>
      <c r="E560" s="26">
        <f t="shared" si="264"/>
        <v>560</v>
      </c>
      <c r="F560" s="9" t="s">
        <v>29</v>
      </c>
      <c r="M560" s="26" t="s">
        <v>221</v>
      </c>
    </row>
    <row r="561" spans="4:13">
      <c r="D561" s="26" t="str">
        <f t="shared" si="280"/>
        <v/>
      </c>
      <c r="E561" s="26">
        <f t="shared" si="264"/>
        <v>561</v>
      </c>
      <c r="F561" s="9" t="s">
        <v>112</v>
      </c>
      <c r="K561" s="9" t="s">
        <v>159</v>
      </c>
      <c r="M561" s="26" t="s">
        <v>39</v>
      </c>
    </row>
    <row r="562" spans="4:13">
      <c r="D562" s="26" t="str">
        <f t="shared" si="280"/>
        <v/>
      </c>
      <c r="E562" s="26">
        <f t="shared" si="264"/>
        <v>562</v>
      </c>
      <c r="F562" s="9" t="s">
        <v>186</v>
      </c>
      <c r="G562" s="26" t="b">
        <f t="shared" ref="G562" si="281">MOD(B554,2)=0</f>
        <v>1</v>
      </c>
      <c r="H562" s="26" t="s">
        <v>223</v>
      </c>
      <c r="I562" s="26" t="s">
        <v>224</v>
      </c>
      <c r="K562" s="9" t="s">
        <v>158</v>
      </c>
      <c r="M562" s="26" t="str">
        <f t="shared" ref="M562" si="282">IF(G562,$H$337,$I$337)</f>
        <v>-0.5,-0.3</v>
      </c>
    </row>
    <row r="563" spans="4:13">
      <c r="D563" s="26" t="str">
        <f t="shared" si="280"/>
        <v/>
      </c>
      <c r="E563" s="26">
        <f t="shared" si="264"/>
        <v>563</v>
      </c>
      <c r="F563" s="9" t="s">
        <v>30</v>
      </c>
      <c r="M563" s="26" t="s">
        <v>42</v>
      </c>
    </row>
    <row r="564" spans="4:13">
      <c r="D564" s="26" t="str">
        <f t="shared" si="280"/>
        <v/>
      </c>
      <c r="E564" s="26">
        <f t="shared" si="264"/>
        <v>564</v>
      </c>
      <c r="F564" s="9" t="s">
        <v>31</v>
      </c>
      <c r="G564" s="26" t="b">
        <f t="shared" ref="G564" si="283">MOD(B554,2)=0</f>
        <v>1</v>
      </c>
      <c r="H564" s="26" t="str">
        <f t="shared" ref="H564" si="284">IF(G564,$G$340,$I$340)</f>
        <v>-35</v>
      </c>
      <c r="I564" s="26" t="str">
        <f t="shared" ref="I564" si="285">IF(G564,$H$340,J565)</f>
        <v>10</v>
      </c>
      <c r="J564" s="26">
        <v>90</v>
      </c>
      <c r="L564" s="9" t="s">
        <v>156</v>
      </c>
      <c r="M564" s="26">
        <f t="shared" ref="M564" si="286">J564+H564+I564*C554</f>
        <v>135</v>
      </c>
    </row>
    <row r="565" spans="4:13">
      <c r="G565" s="26" t="s">
        <v>225</v>
      </c>
      <c r="H565" s="26" t="s">
        <v>34</v>
      </c>
      <c r="I565" s="26" t="s">
        <v>226</v>
      </c>
      <c r="J565" s="26" t="s">
        <v>227</v>
      </c>
    </row>
    <row r="566" spans="4:13">
      <c r="E566" s="26">
        <f t="shared" si="233"/>
        <v>566</v>
      </c>
      <c r="F566" s="9" t="s">
        <v>136</v>
      </c>
      <c r="M566" s="26" t="s">
        <v>118</v>
      </c>
    </row>
    <row r="567" spans="4:13">
      <c r="E567" s="26">
        <f t="shared" si="233"/>
        <v>567</v>
      </c>
      <c r="F567" s="9" t="s">
        <v>220</v>
      </c>
      <c r="M567" s="26" t="s">
        <v>106</v>
      </c>
    </row>
    <row r="568" spans="4:13">
      <c r="D568" s="26" t="str">
        <f t="shared" ref="D568" si="287">IF(OR(F568="ID",F568="符卡",F568="對話",F568="標題"),M568,"")</f>
        <v/>
      </c>
      <c r="E568" s="26">
        <f t="shared" si="233"/>
        <v>568</v>
      </c>
      <c r="F568" s="9" t="s">
        <v>127</v>
      </c>
      <c r="M568" s="26" t="s">
        <v>222</v>
      </c>
    </row>
  </sheetData>
  <autoFilter ref="D1:D142" xr:uid="{00000000-0001-0000-0000-000000000000}"/>
  <phoneticPr fontId="2" type="noConversion"/>
  <conditionalFormatting sqref="N1:BD1">
    <cfRule type="duplicateValues" dxfId="81" priority="524"/>
  </conditionalFormatting>
  <conditionalFormatting sqref="BE1:XFD1 E1:J1">
    <cfRule type="duplicateValues" dxfId="80" priority="604"/>
  </conditionalFormatting>
  <conditionalFormatting sqref="F328:F340 F1:F322">
    <cfRule type="cellIs" dxfId="79" priority="105" operator="equal">
      <formula>"ID"</formula>
    </cfRule>
    <cfRule type="cellIs" dxfId="78" priority="520" operator="equal">
      <formula>"行動序號"</formula>
    </cfRule>
  </conditionalFormatting>
  <conditionalFormatting sqref="F100 F193">
    <cfRule type="cellIs" dxfId="77" priority="484" operator="equal">
      <formula>"行動序號"</formula>
    </cfRule>
  </conditionalFormatting>
  <conditionalFormatting sqref="K1:L1">
    <cfRule type="duplicateValues" dxfId="76" priority="100"/>
  </conditionalFormatting>
  <conditionalFormatting sqref="F149 F164 F179">
    <cfRule type="cellIs" dxfId="75" priority="98" operator="equal">
      <formula>"行動序號"</formula>
    </cfRule>
  </conditionalFormatting>
  <conditionalFormatting sqref="F134">
    <cfRule type="cellIs" dxfId="74" priority="97" operator="equal">
      <formula>"行動序號"</formula>
    </cfRule>
  </conditionalFormatting>
  <conditionalFormatting sqref="M1:M131 M133:M196 M198:M326 M328:M1048576">
    <cfRule type="expression" dxfId="73" priority="96">
      <formula>OR($F1="行動序號",$F1="ID")</formula>
    </cfRule>
  </conditionalFormatting>
  <conditionalFormatting sqref="F113">
    <cfRule type="cellIs" dxfId="72" priority="92" operator="equal">
      <formula>"行動序號"</formula>
    </cfRule>
  </conditionalFormatting>
  <conditionalFormatting sqref="F126">
    <cfRule type="cellIs" dxfId="71" priority="91" operator="equal">
      <formula>"行動序號"</formula>
    </cfRule>
  </conditionalFormatting>
  <conditionalFormatting sqref="F213 F227 F241 F255 F269 F283 F297 F311:F322">
    <cfRule type="cellIs" dxfId="70" priority="89" operator="equal">
      <formula>"行動序號"</formula>
    </cfRule>
  </conditionalFormatting>
  <conditionalFormatting sqref="F324:F327 F343:F355 F357:F369 F371:F383 F385:F397 F399:F411 F413:F425 F427:F439 F441:F453 F455:F467 F469:F481 F483:F495 F497:F509 F511:F523 F525:F537 F539:F551 F553">
    <cfRule type="cellIs" dxfId="69" priority="28" operator="equal">
      <formula>"ID"</formula>
    </cfRule>
    <cfRule type="cellIs" dxfId="68" priority="30" operator="equal">
      <formula>"行動序號"</formula>
    </cfRule>
  </conditionalFormatting>
  <conditionalFormatting sqref="F343 F357 F371 F385 F399 F413 F427 F441 F455 F469 F483 F497 F511 F525 F539 F553">
    <cfRule type="cellIs" dxfId="67" priority="27" operator="equal">
      <formula>"行動序號"</formula>
    </cfRule>
  </conditionalFormatting>
  <conditionalFormatting sqref="I337:J337">
    <cfRule type="expression" dxfId="66" priority="25">
      <formula>OR(#REF!="行動序號",#REF!="ID")</formula>
    </cfRule>
  </conditionalFormatting>
  <conditionalFormatting sqref="I337:J337">
    <cfRule type="expression" dxfId="65" priority="24">
      <formula>#REF!="行動序號"</formula>
    </cfRule>
  </conditionalFormatting>
  <conditionalFormatting sqref="F341 F356 F370 F384 F398 F412 F426 F440 F454 F468 F482 F496 F510 F524 F538 F552">
    <cfRule type="cellIs" dxfId="64" priority="18" operator="equal">
      <formula>"ID"</formula>
    </cfRule>
    <cfRule type="cellIs" dxfId="63" priority="19" operator="equal">
      <formula>"行動序號"</formula>
    </cfRule>
  </conditionalFormatting>
  <conditionalFormatting sqref="F55">
    <cfRule type="cellIs" dxfId="62" priority="17" operator="equal">
      <formula>"行動序號"</formula>
    </cfRule>
  </conditionalFormatting>
  <conditionalFormatting sqref="F70">
    <cfRule type="cellIs" dxfId="61" priority="16" operator="equal">
      <formula>"行動序號"</formula>
    </cfRule>
  </conditionalFormatting>
  <conditionalFormatting sqref="F85">
    <cfRule type="cellIs" dxfId="60" priority="15" operator="equal">
      <formula>"行動序號"</formula>
    </cfRule>
  </conditionalFormatting>
  <conditionalFormatting sqref="H207 H222 H236 H250 H264 H278 H292 H306 G225 G239 G253 G267 G281 G295 G309 H337 M1:M131 G137 G146 M133:M196 J200 M198:M326 M328:M1048576 J330">
    <cfRule type="expression" dxfId="59" priority="12">
      <formula>_xlfn.ISFORMULA(G1)</formula>
    </cfRule>
  </conditionalFormatting>
  <conditionalFormatting sqref="H207:J207 H222:J222 H236:J236 H250:J250 H264:J264 H278:J278 H292:J292 H306:J306 G225 G239 G253 G267 G281 G295 G309">
    <cfRule type="expression" dxfId="58" priority="620">
      <formula>OR(#REF!="行動序號",#REF!="ID")</formula>
    </cfRule>
  </conditionalFormatting>
  <conditionalFormatting sqref="H207 H222 H236 H250 H264 H278 H292 H306 G225 G239 G253 G267 G281 G295 G309">
    <cfRule type="expression" dxfId="57" priority="622">
      <formula>#REF!="行動ID"</formula>
    </cfRule>
  </conditionalFormatting>
  <conditionalFormatting sqref="I207:J207 I222:J222 I236:J236 I250:J250 I264:J264 I278:J278 I292:J292 I306:J306">
    <cfRule type="expression" dxfId="56" priority="634">
      <formula>#REF!="行動序號"</formula>
    </cfRule>
  </conditionalFormatting>
  <conditionalFormatting sqref="H337">
    <cfRule type="expression" dxfId="55" priority="643">
      <formula>OR(#REF!="行動序號",#REF!="ID")</formula>
    </cfRule>
  </conditionalFormatting>
  <conditionalFormatting sqref="H337">
    <cfRule type="expression" dxfId="54" priority="645">
      <formula>#REF!="行動ID"</formula>
    </cfRule>
  </conditionalFormatting>
  <conditionalFormatting sqref="F342">
    <cfRule type="cellIs" dxfId="53" priority="10" operator="equal">
      <formula>"ID"</formula>
    </cfRule>
    <cfRule type="cellIs" dxfId="52" priority="11" operator="equal">
      <formula>"行動序號"</formula>
    </cfRule>
  </conditionalFormatting>
  <conditionalFormatting sqref="F342">
    <cfRule type="cellIs" dxfId="51" priority="9" operator="equal">
      <formula>"行動序號"</formula>
    </cfRule>
  </conditionalFormatting>
  <conditionalFormatting sqref="E1">
    <cfRule type="cellIs" dxfId="50" priority="7" operator="equal">
      <formula>"ID"</formula>
    </cfRule>
    <cfRule type="cellIs" dxfId="49" priority="8" operator="equal">
      <formula>"行動序號"</formula>
    </cfRule>
  </conditionalFormatting>
  <conditionalFormatting sqref="M1:M131 M133:M196 M198:M326 M328:M1048576">
    <cfRule type="expression" dxfId="48" priority="5">
      <formula>$F1="行動ID"</formula>
    </cfRule>
  </conditionalFormatting>
  <conditionalFormatting sqref="G137">
    <cfRule type="expression" dxfId="47" priority="650">
      <formula>OR($F132="行動序號",$F132="ID")</formula>
    </cfRule>
  </conditionalFormatting>
  <conditionalFormatting sqref="G137">
    <cfRule type="expression" dxfId="46" priority="652">
      <formula>$F132="行動ID"</formula>
    </cfRule>
  </conditionalFormatting>
  <conditionalFormatting sqref="J137">
    <cfRule type="expression" dxfId="45" priority="1">
      <formula>_xlfn.ISFORMULA(J137)</formula>
    </cfRule>
  </conditionalFormatting>
  <conditionalFormatting sqref="J137">
    <cfRule type="expression" dxfId="44" priority="2">
      <formula>OR($F132="行動序號",$F132="ID")</formula>
    </cfRule>
  </conditionalFormatting>
  <conditionalFormatting sqref="J137">
    <cfRule type="expression" dxfId="43" priority="3">
      <formula>$F132="行動ID"</formula>
    </cfRule>
  </conditionalFormatting>
  <conditionalFormatting sqref="G146">
    <cfRule type="expression" dxfId="42" priority="663">
      <formula>OR(#REF!="行動序號",#REF!="ID")</formula>
    </cfRule>
  </conditionalFormatting>
  <conditionalFormatting sqref="G146">
    <cfRule type="expression" dxfId="41" priority="664">
      <formula>#REF!="行動ID"</formula>
    </cfRule>
  </conditionalFormatting>
  <conditionalFormatting sqref="J200 J330">
    <cfRule type="expression" dxfId="40" priority="668">
      <formula>OR($F197="行動序號",$F197="ID")</formula>
    </cfRule>
  </conditionalFormatting>
  <conditionalFormatting sqref="J200 J330">
    <cfRule type="expression" dxfId="39" priority="672">
      <formula>$F197="行動ID"</formula>
    </cfRule>
  </conditionalFormatting>
  <dataValidations count="1">
    <dataValidation type="list" allowBlank="1" showInputMessage="1" showErrorMessage="1" sqref="L5 F24 M35 L19:L21 N23:O23 O28:O30 F131 F23:G23 O11 N29:N30 K23:L23 I36:J36 K15 F7:F8 K19:K20 K10 K580 F197:H197 K194 L83 K34 K42 F55 L53 L68 F35:H36 F30:F31 I28:J29 H28:H30 F28:G29 F327:H327 K326 F15 L550 K125 F198 F3 F49 L28:L32 F38:L38 F10:F11 K27:K30 L199 I11:K11 K35:L36 K22 F132:M132 L15 L11 L12 K578 G133:M134 F133 F134 K127 L126 F230 L23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DC679-63D3-42D4-BC9D-CA3E85C8C9DC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54</v>
      </c>
      <c r="B1" s="17" t="s">
        <v>27</v>
      </c>
      <c r="C1" s="17" t="s">
        <v>168</v>
      </c>
      <c r="D1" s="17" t="s">
        <v>167</v>
      </c>
      <c r="E1" s="6" t="s">
        <v>38</v>
      </c>
    </row>
    <row r="2" spans="1:5">
      <c r="A2" s="9" t="s">
        <v>57</v>
      </c>
      <c r="B2" s="9" t="s">
        <v>28</v>
      </c>
      <c r="C2" s="9" t="s">
        <v>168</v>
      </c>
      <c r="D2" s="9" t="s">
        <v>169</v>
      </c>
      <c r="E2" s="9" t="s">
        <v>38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300CB215-E563-42E1-9C92-217282BEE4E3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97B52-3494-4928-A7F4-6C443652A294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249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119</v>
      </c>
      <c r="C4" s="7" t="s">
        <v>39</v>
      </c>
      <c r="E4" t="str">
        <f t="shared" si="0"/>
        <v>行動ID,</v>
      </c>
      <c r="H4"/>
    </row>
    <row r="5" spans="1:12">
      <c r="A5" s="7" t="s">
        <v>27</v>
      </c>
      <c r="B5" s="7" t="s">
        <v>114</v>
      </c>
      <c r="C5" s="7" t="s">
        <v>40</v>
      </c>
      <c r="E5" t="str">
        <f t="shared" si="0"/>
        <v>玩家,</v>
      </c>
      <c r="H5"/>
    </row>
    <row r="6" spans="1:12">
      <c r="A6" s="7" t="s">
        <v>27</v>
      </c>
      <c r="B6" s="7" t="s">
        <v>124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53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231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132</v>
      </c>
      <c r="C9" s="7" t="s">
        <v>41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307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240</v>
      </c>
      <c r="C11" s="7" t="s">
        <v>42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48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125</v>
      </c>
      <c r="C13" s="7" t="s">
        <v>43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126</v>
      </c>
      <c r="C14" s="7" t="s">
        <v>44</v>
      </c>
      <c r="E14" t="str">
        <f t="shared" si="0"/>
        <v>對話,</v>
      </c>
      <c r="H14"/>
    </row>
    <row r="15" spans="1:12">
      <c r="A15" s="7" t="s">
        <v>27</v>
      </c>
      <c r="B15" s="7" t="s">
        <v>152</v>
      </c>
      <c r="C15" s="7" t="s">
        <v>45</v>
      </c>
      <c r="E15" t="str">
        <f t="shared" si="0"/>
        <v>播放音樂,</v>
      </c>
      <c r="H15"/>
    </row>
    <row r="16" spans="1:12">
      <c r="A16" s="7" t="s">
        <v>27</v>
      </c>
      <c r="B16" s="7" t="s">
        <v>153</v>
      </c>
      <c r="C16" s="7" t="s">
        <v>46</v>
      </c>
      <c r="E16" t="str">
        <f t="shared" si="0"/>
        <v>關卡結束,</v>
      </c>
      <c r="H16"/>
    </row>
    <row r="17" spans="1:8">
      <c r="A17" s="7" t="s">
        <v>27</v>
      </c>
      <c r="B17" s="7" t="s">
        <v>232</v>
      </c>
      <c r="C17" s="7" t="s">
        <v>313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172</v>
      </c>
      <c r="C20" s="7" t="s">
        <v>175</v>
      </c>
      <c r="E20" t="str">
        <f t="shared" si="0"/>
        <v>啟動依ID,</v>
      </c>
      <c r="H20"/>
    </row>
    <row r="21" spans="1:8">
      <c r="A21" s="7" t="s">
        <v>27</v>
      </c>
      <c r="B21" s="7" t="s">
        <v>241</v>
      </c>
      <c r="C21" s="7" t="s">
        <v>120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148</v>
      </c>
      <c r="C22" s="7" t="s">
        <v>242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149</v>
      </c>
      <c r="C23" s="7" t="s">
        <v>243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150</v>
      </c>
      <c r="C24" s="7" t="s">
        <v>244</v>
      </c>
      <c r="E24" t="str">
        <f t="shared" si="0"/>
        <v>啟動依位置,</v>
      </c>
      <c r="H24"/>
    </row>
    <row r="25" spans="1:8">
      <c r="A25" s="7" t="s">
        <v>27</v>
      </c>
      <c r="B25" s="7" t="s">
        <v>151</v>
      </c>
      <c r="C25" s="7" t="s">
        <v>245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233</v>
      </c>
      <c r="C26" s="7" t="s">
        <v>246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234</v>
      </c>
      <c r="C27" s="7" t="s">
        <v>247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205</v>
      </c>
      <c r="E30" t="str">
        <f t="shared" si="0"/>
        <v>物件,</v>
      </c>
      <c r="H30"/>
    </row>
    <row r="31" spans="1:8">
      <c r="A31" s="7" t="s">
        <v>27</v>
      </c>
      <c r="B31" s="7" t="s">
        <v>140</v>
      </c>
      <c r="C31" s="7" t="s">
        <v>257</v>
      </c>
      <c r="E31" t="str">
        <f t="shared" si="0"/>
        <v>Sprite,</v>
      </c>
      <c r="H31"/>
    </row>
    <row r="32" spans="1:8">
      <c r="A32" s="7" t="s">
        <v>27</v>
      </c>
      <c r="B32" s="7" t="s">
        <v>117</v>
      </c>
      <c r="C32" s="7" t="s">
        <v>258</v>
      </c>
      <c r="E32" t="str">
        <f t="shared" si="0"/>
        <v>動畫,</v>
      </c>
      <c r="H32"/>
    </row>
    <row r="33" spans="1:8">
      <c r="A33" s="7" t="s">
        <v>27</v>
      </c>
      <c r="B33" s="7" t="s">
        <v>128</v>
      </c>
      <c r="C33" s="7" t="s">
        <v>259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127</v>
      </c>
      <c r="C34" s="7" t="s">
        <v>260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51</v>
      </c>
      <c r="C35" s="7" t="s">
        <v>261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235</v>
      </c>
      <c r="C36" s="7" t="s">
        <v>262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236</v>
      </c>
      <c r="C37" s="7" t="s">
        <v>263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248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110</v>
      </c>
      <c r="C41" s="7" t="s">
        <v>264</v>
      </c>
      <c r="E41" t="str">
        <f t="shared" si="0"/>
        <v>回收時間,</v>
      </c>
      <c r="H41"/>
    </row>
    <row r="42" spans="1:8">
      <c r="A42" s="7" t="s">
        <v>27</v>
      </c>
      <c r="B42" s="7" t="s">
        <v>129</v>
      </c>
      <c r="C42" s="7" t="s">
        <v>265</v>
      </c>
      <c r="E42" t="str">
        <f t="shared" si="0"/>
        <v>死亡時間,</v>
      </c>
      <c r="H42"/>
    </row>
    <row r="43" spans="1:8">
      <c r="A43" s="7" t="s">
        <v>27</v>
      </c>
      <c r="B43" s="7" t="s">
        <v>299</v>
      </c>
      <c r="C43" s="7" t="s">
        <v>300</v>
      </c>
      <c r="E43" t="str">
        <f t="shared" si="0"/>
        <v>符卡時間,</v>
      </c>
      <c r="H43"/>
    </row>
    <row r="44" spans="1:8">
      <c r="B44" s="34"/>
      <c r="H44"/>
    </row>
    <row r="45" spans="1:8">
      <c r="H45"/>
    </row>
    <row r="46" spans="1:8">
      <c r="A46" s="7" t="s">
        <v>27</v>
      </c>
      <c r="B46" s="7" t="s">
        <v>112</v>
      </c>
      <c r="C46" s="7" t="s">
        <v>250</v>
      </c>
      <c r="E46" t="str">
        <f t="shared" si="0"/>
        <v>移位置,</v>
      </c>
      <c r="H46"/>
    </row>
    <row r="47" spans="1:8">
      <c r="A47" s="7" t="s">
        <v>27</v>
      </c>
      <c r="B47" s="7" t="s">
        <v>138</v>
      </c>
      <c r="C47" s="7" t="s">
        <v>266</v>
      </c>
      <c r="E47" t="str">
        <f t="shared" si="0"/>
        <v>相對位置,</v>
      </c>
      <c r="H47"/>
    </row>
    <row r="48" spans="1:8">
      <c r="A48" s="7" t="s">
        <v>27</v>
      </c>
      <c r="B48" s="7" t="s">
        <v>155</v>
      </c>
      <c r="C48" s="7" t="s">
        <v>267</v>
      </c>
      <c r="E48" t="str">
        <f t="shared" si="0"/>
        <v>位置參數,</v>
      </c>
      <c r="H48"/>
    </row>
    <row r="49" spans="1:8">
      <c r="A49" s="7" t="s">
        <v>27</v>
      </c>
      <c r="B49" s="7" t="s">
        <v>186</v>
      </c>
      <c r="C49" s="7" t="s">
        <v>268</v>
      </c>
      <c r="E49" t="str">
        <f t="shared" si="0"/>
        <v>加位置,</v>
      </c>
      <c r="H49"/>
    </row>
    <row r="50" spans="1:8">
      <c r="A50" s="7" t="s">
        <v>27</v>
      </c>
      <c r="B50" s="7" t="s">
        <v>314</v>
      </c>
      <c r="C50" s="7" t="s">
        <v>315</v>
      </c>
      <c r="E50" t="str">
        <f t="shared" si="0"/>
        <v>記錄位置,</v>
      </c>
      <c r="H50"/>
    </row>
    <row r="51" spans="1:8">
      <c r="A51" s="7" t="s">
        <v>27</v>
      </c>
      <c r="B51" s="7" t="s">
        <v>316</v>
      </c>
      <c r="C51" s="7" t="s">
        <v>317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251</v>
      </c>
      <c r="E54" t="str">
        <f t="shared" si="0"/>
        <v>移動角度,</v>
      </c>
      <c r="H54"/>
    </row>
    <row r="55" spans="1:8">
      <c r="A55" s="7" t="s">
        <v>27</v>
      </c>
      <c r="B55" s="7" t="s">
        <v>133</v>
      </c>
      <c r="C55" s="7" t="s">
        <v>269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134</v>
      </c>
      <c r="C56" s="7" t="s">
        <v>270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135</v>
      </c>
      <c r="C57" s="7" t="s">
        <v>271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154</v>
      </c>
      <c r="C58" s="7" t="s">
        <v>272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237</v>
      </c>
      <c r="C59" s="7" t="s">
        <v>273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136</v>
      </c>
      <c r="C60" s="7" t="s">
        <v>274</v>
      </c>
      <c r="E60" t="str">
        <f t="shared" si="0"/>
        <v>旋轉是移動角度,</v>
      </c>
      <c r="H60"/>
    </row>
    <row r="61" spans="1:8">
      <c r="A61" s="7" t="s">
        <v>27</v>
      </c>
      <c r="B61" s="35" t="s">
        <v>308</v>
      </c>
      <c r="C61" s="7" t="s">
        <v>311</v>
      </c>
      <c r="E61" t="str">
        <f t="shared" si="0"/>
        <v>子旋轉角度,</v>
      </c>
      <c r="H61"/>
    </row>
    <row r="62" spans="1:8">
      <c r="A62" s="7" t="s">
        <v>27</v>
      </c>
      <c r="B62" s="35" t="s">
        <v>310</v>
      </c>
      <c r="C62" s="7" t="s">
        <v>312</v>
      </c>
      <c r="E62" t="str">
        <f t="shared" si="0"/>
        <v>子加旋轉角度,</v>
      </c>
      <c r="H62"/>
    </row>
    <row r="63" spans="1:8">
      <c r="A63" s="7" t="s">
        <v>27</v>
      </c>
      <c r="B63" s="7" t="s">
        <v>318</v>
      </c>
      <c r="C63" s="7" t="s">
        <v>319</v>
      </c>
      <c r="E63" t="str">
        <f t="shared" si="0"/>
        <v>記錄角度,</v>
      </c>
      <c r="H63"/>
    </row>
    <row r="64" spans="1:8">
      <c r="A64" s="7" t="s">
        <v>27</v>
      </c>
      <c r="B64" s="7" t="s">
        <v>321</v>
      </c>
      <c r="C64" s="7" t="s">
        <v>320</v>
      </c>
      <c r="E64" t="str">
        <f t="shared" si="0"/>
        <v>記錄角度ID,</v>
      </c>
      <c r="H64"/>
    </row>
    <row r="65" spans="1:11">
      <c r="B65" s="3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252</v>
      </c>
      <c r="E67" t="str">
        <f t="shared" si="0"/>
        <v>速度,</v>
      </c>
      <c r="H67"/>
    </row>
    <row r="68" spans="1:11">
      <c r="A68" s="7" t="s">
        <v>27</v>
      </c>
      <c r="B68" s="7" t="s">
        <v>137</v>
      </c>
      <c r="C68" s="7" t="s">
        <v>275</v>
      </c>
      <c r="E68" t="str">
        <f t="shared" si="0"/>
        <v>加速度,</v>
      </c>
      <c r="H68"/>
    </row>
    <row r="69" spans="1:11">
      <c r="A69" s="7" t="s">
        <v>27</v>
      </c>
      <c r="B69" s="7" t="s">
        <v>130</v>
      </c>
      <c r="C69" s="7" t="s">
        <v>276</v>
      </c>
      <c r="E69" t="str">
        <f t="shared" si="0"/>
        <v>最小速度,</v>
      </c>
      <c r="H69"/>
    </row>
    <row r="70" spans="1:11">
      <c r="A70" s="7" t="s">
        <v>27</v>
      </c>
      <c r="B70" s="7" t="s">
        <v>131</v>
      </c>
      <c r="C70" s="7" t="s">
        <v>277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254</v>
      </c>
      <c r="C73" s="7" t="s">
        <v>253</v>
      </c>
      <c r="E73" t="str">
        <f t="shared" si="0"/>
        <v>是界內,</v>
      </c>
      <c r="H73"/>
    </row>
    <row r="74" spans="1:11">
      <c r="A74" s="7" t="s">
        <v>27</v>
      </c>
      <c r="B74" s="7" t="s">
        <v>52</v>
      </c>
      <c r="C74" s="7" t="s">
        <v>278</v>
      </c>
      <c r="E74" t="str">
        <f t="shared" si="0"/>
        <v>無敵,</v>
      </c>
      <c r="H74"/>
    </row>
    <row r="75" spans="1:11">
      <c r="A75" s="7" t="s">
        <v>27</v>
      </c>
      <c r="B75" s="7" t="s">
        <v>139</v>
      </c>
      <c r="C75" s="7" t="s">
        <v>279</v>
      </c>
      <c r="E75" t="str">
        <f t="shared" si="0"/>
        <v>貫穿,</v>
      </c>
      <c r="H75"/>
    </row>
    <row r="76" spans="1:11">
      <c r="A76" s="7" t="s">
        <v>27</v>
      </c>
      <c r="B76" s="7" t="s">
        <v>147</v>
      </c>
      <c r="C76" s="7" t="s">
        <v>280</v>
      </c>
      <c r="E76" t="str">
        <f t="shared" si="0"/>
        <v>回收距離,</v>
      </c>
      <c r="H76"/>
    </row>
    <row r="77" spans="1:11">
      <c r="A77" s="7" t="s">
        <v>27</v>
      </c>
      <c r="B77" s="7" t="s">
        <v>238</v>
      </c>
      <c r="C77" s="7" t="s">
        <v>281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220</v>
      </c>
      <c r="C78" s="7" t="s">
        <v>282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228</v>
      </c>
      <c r="C79" s="7" t="s">
        <v>283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239</v>
      </c>
      <c r="C80" s="7" t="s">
        <v>284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141</v>
      </c>
      <c r="C83" s="7" t="s">
        <v>255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142</v>
      </c>
      <c r="C84" s="7" t="s">
        <v>285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143</v>
      </c>
      <c r="C85" s="7" t="s">
        <v>286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144</v>
      </c>
      <c r="C86" s="7" t="s">
        <v>287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145</v>
      </c>
      <c r="C87" s="7" t="s">
        <v>288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146</v>
      </c>
      <c r="C88" s="7" t="s">
        <v>289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174</v>
      </c>
      <c r="C91" s="7" t="s">
        <v>256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176</v>
      </c>
      <c r="C92" s="7" t="s">
        <v>290</v>
      </c>
      <c r="E92" t="str">
        <f t="shared" si="1"/>
        <v>玩家子彈間隔,</v>
      </c>
      <c r="H92"/>
    </row>
    <row r="93" spans="1:11">
      <c r="A93" s="7" t="s">
        <v>27</v>
      </c>
      <c r="B93" s="7" t="s">
        <v>180</v>
      </c>
      <c r="C93" s="7" t="s">
        <v>291</v>
      </c>
      <c r="E93" t="str">
        <f t="shared" si="1"/>
        <v>玩家Power需求,</v>
      </c>
      <c r="H93"/>
    </row>
    <row r="94" spans="1:11">
      <c r="A94" s="7" t="s">
        <v>27</v>
      </c>
      <c r="B94" s="7" t="s">
        <v>182</v>
      </c>
      <c r="C94" s="7" t="s">
        <v>292</v>
      </c>
      <c r="E94" t="str">
        <f t="shared" si="1"/>
        <v>玩家Shift,</v>
      </c>
      <c r="H94"/>
    </row>
    <row r="95" spans="1:11">
      <c r="A95" s="7" t="s">
        <v>27</v>
      </c>
      <c r="B95" s="7" t="s">
        <v>185</v>
      </c>
      <c r="C95" s="7" t="s">
        <v>293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167</v>
      </c>
      <c r="B103" s="7" t="s">
        <v>158</v>
      </c>
      <c r="C103" s="7" t="s">
        <v>21</v>
      </c>
      <c r="H103"/>
    </row>
    <row r="104" spans="1:12" customFormat="1">
      <c r="A104" s="7" t="s">
        <v>167</v>
      </c>
      <c r="B104" t="s">
        <v>159</v>
      </c>
      <c r="C104" s="7" t="s">
        <v>25</v>
      </c>
      <c r="D104" s="7"/>
      <c r="L104" s="7"/>
    </row>
    <row r="105" spans="1:12" customFormat="1">
      <c r="A105" s="7" t="s">
        <v>167</v>
      </c>
      <c r="B105" t="s">
        <v>160</v>
      </c>
      <c r="C105" s="7" t="s">
        <v>26</v>
      </c>
      <c r="D105" s="7"/>
      <c r="L105" s="7"/>
    </row>
    <row r="106" spans="1:12" customFormat="1">
      <c r="A106" s="7" t="s">
        <v>167</v>
      </c>
      <c r="B106" t="s">
        <v>294</v>
      </c>
      <c r="C106" s="7" t="s">
        <v>105</v>
      </c>
      <c r="D106" s="7"/>
      <c r="L106" s="7"/>
    </row>
    <row r="107" spans="1:12" customFormat="1">
      <c r="A107" s="7" t="s">
        <v>167</v>
      </c>
      <c r="B107" t="s">
        <v>295</v>
      </c>
      <c r="C107" s="7" t="s">
        <v>23</v>
      </c>
      <c r="D107" s="7"/>
      <c r="L107" s="7"/>
    </row>
    <row r="108" spans="1:12" customFormat="1">
      <c r="A108" s="7" t="s">
        <v>167</v>
      </c>
      <c r="B108" t="s">
        <v>296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168</v>
      </c>
      <c r="B111" t="s">
        <v>156</v>
      </c>
      <c r="C111" s="7" t="s">
        <v>21</v>
      </c>
      <c r="D111" s="4"/>
      <c r="L111" s="7"/>
    </row>
    <row r="112" spans="1:12" customFormat="1">
      <c r="A112" s="7" t="s">
        <v>168</v>
      </c>
      <c r="B112" t="s">
        <v>157</v>
      </c>
      <c r="C112" s="7" t="s">
        <v>39</v>
      </c>
      <c r="D112" s="7"/>
      <c r="L112" s="7"/>
    </row>
    <row r="113" spans="1:12" customFormat="1">
      <c r="A113" s="7" t="s">
        <v>168</v>
      </c>
      <c r="B113" t="s">
        <v>179</v>
      </c>
      <c r="C113" s="7" t="s">
        <v>40</v>
      </c>
      <c r="D113" s="7"/>
      <c r="L113" s="7"/>
    </row>
    <row r="114" spans="1:12" customFormat="1">
      <c r="A114" s="7" t="s">
        <v>168</v>
      </c>
      <c r="B114" t="s">
        <v>298</v>
      </c>
      <c r="C114" s="7" t="s">
        <v>22</v>
      </c>
      <c r="D114" s="7"/>
      <c r="L114" s="7"/>
    </row>
    <row r="115" spans="1:12">
      <c r="A115" s="7" t="s">
        <v>168</v>
      </c>
      <c r="B115" s="7" t="s">
        <v>219</v>
      </c>
      <c r="C115" s="7" t="s">
        <v>23</v>
      </c>
      <c r="H115"/>
    </row>
    <row r="116" spans="1:12">
      <c r="A116" s="7" t="s">
        <v>168</v>
      </c>
      <c r="B116" s="7" t="s">
        <v>322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E1B7E-EE8E-4DE8-AC71-0406BA06BCD1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167</v>
      </c>
      <c r="C1" s="6" t="s">
        <v>168</v>
      </c>
      <c r="D1" s="8"/>
      <c r="E1" s="8"/>
      <c r="F1" s="8"/>
      <c r="G1" s="6"/>
      <c r="H1" s="8"/>
      <c r="I1" s="8"/>
      <c r="J1" s="8"/>
    </row>
    <row r="2" spans="1:10" ht="85.5">
      <c r="B2" s="20" t="s">
        <v>158</v>
      </c>
      <c r="C2" s="20" t="s">
        <v>156</v>
      </c>
      <c r="D2" s="20"/>
      <c r="G2" s="21" t="s">
        <v>218</v>
      </c>
    </row>
    <row r="3" spans="1:10">
      <c r="A3" s="20" t="s">
        <v>101</v>
      </c>
      <c r="B3" s="20" t="s">
        <v>159</v>
      </c>
      <c r="C3" s="20" t="s">
        <v>157</v>
      </c>
      <c r="D3" s="20"/>
      <c r="G3" s="9"/>
    </row>
    <row r="4" spans="1:10">
      <c r="A4" s="20" t="s">
        <v>119</v>
      </c>
      <c r="B4" s="20" t="s">
        <v>160</v>
      </c>
      <c r="C4" s="20" t="s">
        <v>297</v>
      </c>
      <c r="D4" s="20"/>
      <c r="G4" s="9"/>
      <c r="H4" s="18"/>
    </row>
    <row r="5" spans="1:10" ht="17.25" customHeight="1">
      <c r="A5" s="20" t="s">
        <v>114</v>
      </c>
      <c r="B5" s="20" t="s">
        <v>294</v>
      </c>
      <c r="C5" s="20" t="s">
        <v>298</v>
      </c>
      <c r="D5" s="20"/>
      <c r="G5" s="9"/>
    </row>
    <row r="6" spans="1:10">
      <c r="A6" s="20" t="s">
        <v>124</v>
      </c>
      <c r="B6" s="20" t="s">
        <v>295</v>
      </c>
      <c r="C6" s="20" t="s">
        <v>219</v>
      </c>
      <c r="D6" s="20"/>
      <c r="G6" s="9"/>
    </row>
    <row r="7" spans="1:10">
      <c r="A7" s="20" t="s">
        <v>53</v>
      </c>
      <c r="B7" s="20" t="s">
        <v>296</v>
      </c>
      <c r="C7" s="34" t="s">
        <v>322</v>
      </c>
      <c r="D7" s="20"/>
      <c r="G7" s="9"/>
    </row>
    <row r="8" spans="1:10">
      <c r="A8" s="20" t="s">
        <v>231</v>
      </c>
      <c r="B8" s="34"/>
      <c r="C8" s="20"/>
      <c r="D8" s="20"/>
      <c r="G8" s="9"/>
    </row>
    <row r="9" spans="1:10">
      <c r="A9" s="20" t="s">
        <v>132</v>
      </c>
      <c r="B9" s="20"/>
      <c r="C9" s="20"/>
      <c r="D9" s="20"/>
      <c r="G9" s="9"/>
    </row>
    <row r="10" spans="1:10">
      <c r="A10" s="20" t="s">
        <v>307</v>
      </c>
      <c r="B10" s="20"/>
      <c r="C10" s="20"/>
      <c r="D10" s="20"/>
      <c r="G10" s="9"/>
    </row>
    <row r="11" spans="1:10">
      <c r="A11" s="20" t="s">
        <v>240</v>
      </c>
      <c r="G11" s="9"/>
    </row>
    <row r="12" spans="1:10">
      <c r="A12" s="20" t="s">
        <v>48</v>
      </c>
      <c r="G12" s="9"/>
    </row>
    <row r="13" spans="1:10">
      <c r="A13" s="20" t="s">
        <v>125</v>
      </c>
      <c r="G13" s="9"/>
    </row>
    <row r="14" spans="1:10">
      <c r="A14" s="20" t="s">
        <v>126</v>
      </c>
      <c r="C14" s="9"/>
      <c r="G14" s="9"/>
    </row>
    <row r="15" spans="1:10">
      <c r="A15" s="20" t="s">
        <v>152</v>
      </c>
      <c r="G15" s="9"/>
    </row>
    <row r="16" spans="1:10">
      <c r="A16" s="20" t="s">
        <v>153</v>
      </c>
      <c r="C16"/>
      <c r="G16" s="9"/>
    </row>
    <row r="17" spans="1:7">
      <c r="A17" s="20" t="s">
        <v>232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172</v>
      </c>
      <c r="C20"/>
      <c r="G20" s="9"/>
    </row>
    <row r="21" spans="1:7">
      <c r="A21" s="20" t="s">
        <v>241</v>
      </c>
      <c r="C21"/>
      <c r="G21" s="9"/>
    </row>
    <row r="22" spans="1:7">
      <c r="A22" s="20" t="s">
        <v>148</v>
      </c>
      <c r="C22"/>
      <c r="G22" s="9"/>
    </row>
    <row r="23" spans="1:7">
      <c r="A23" s="20" t="s">
        <v>149</v>
      </c>
      <c r="C23"/>
      <c r="G23" s="9"/>
    </row>
    <row r="24" spans="1:7">
      <c r="A24" s="20" t="s">
        <v>150</v>
      </c>
      <c r="C24"/>
      <c r="G24" s="9"/>
    </row>
    <row r="25" spans="1:7" s="9" customFormat="1">
      <c r="A25" s="20" t="s">
        <v>151</v>
      </c>
      <c r="C25"/>
      <c r="F25" s="4"/>
    </row>
    <row r="26" spans="1:7">
      <c r="A26" s="20" t="s">
        <v>233</v>
      </c>
      <c r="C26"/>
      <c r="G26" s="9"/>
    </row>
    <row r="27" spans="1:7">
      <c r="A27" s="20" t="s">
        <v>234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140</v>
      </c>
      <c r="C31"/>
      <c r="G31" s="9"/>
    </row>
    <row r="32" spans="1:7">
      <c r="A32" s="20" t="s">
        <v>117</v>
      </c>
      <c r="C32"/>
      <c r="G32" s="9"/>
    </row>
    <row r="33" spans="1:7">
      <c r="A33" s="20" t="s">
        <v>128</v>
      </c>
      <c r="C33"/>
      <c r="G33" s="9"/>
    </row>
    <row r="34" spans="1:7">
      <c r="A34" s="20" t="s">
        <v>127</v>
      </c>
      <c r="C34"/>
      <c r="G34" s="9"/>
    </row>
    <row r="35" spans="1:7">
      <c r="A35" s="20" t="s">
        <v>51</v>
      </c>
      <c r="C35"/>
      <c r="G35" s="9"/>
    </row>
    <row r="36" spans="1:7">
      <c r="A36" s="20" t="s">
        <v>235</v>
      </c>
      <c r="C36"/>
    </row>
    <row r="37" spans="1:7">
      <c r="A37" s="20" t="s">
        <v>236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110</v>
      </c>
      <c r="C41"/>
      <c r="G41" s="9"/>
    </row>
    <row r="42" spans="1:7">
      <c r="A42" s="20" t="s">
        <v>129</v>
      </c>
      <c r="C42"/>
      <c r="G42" s="9"/>
    </row>
    <row r="43" spans="1:7">
      <c r="A43" s="34" t="s">
        <v>299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112</v>
      </c>
      <c r="C46"/>
      <c r="G46" s="9"/>
    </row>
    <row r="47" spans="1:7">
      <c r="A47" s="20" t="s">
        <v>138</v>
      </c>
      <c r="C47"/>
      <c r="G47" s="9"/>
    </row>
    <row r="48" spans="1:7">
      <c r="A48" s="20" t="s">
        <v>155</v>
      </c>
      <c r="C48"/>
      <c r="G48" s="9"/>
    </row>
    <row r="49" spans="1:8">
      <c r="A49" s="20" t="s">
        <v>186</v>
      </c>
      <c r="C49"/>
      <c r="G49" s="9"/>
    </row>
    <row r="50" spans="1:8">
      <c r="A50" s="35" t="s">
        <v>318</v>
      </c>
      <c r="C50"/>
      <c r="G50" s="9"/>
    </row>
    <row r="51" spans="1:8">
      <c r="A51" s="35" t="s">
        <v>323</v>
      </c>
      <c r="C51"/>
      <c r="G51" s="9"/>
    </row>
    <row r="52" spans="1:8">
      <c r="A52" s="3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133</v>
      </c>
      <c r="C55"/>
      <c r="G55" s="9"/>
      <c r="H55" s="11"/>
    </row>
    <row r="56" spans="1:8">
      <c r="A56" s="20" t="s">
        <v>134</v>
      </c>
      <c r="C56"/>
      <c r="G56" s="9"/>
      <c r="H56" s="11"/>
    </row>
    <row r="57" spans="1:8">
      <c r="A57" s="36" t="s">
        <v>309</v>
      </c>
      <c r="C57"/>
      <c r="G57" s="9"/>
    </row>
    <row r="58" spans="1:8">
      <c r="A58" s="20" t="s">
        <v>154</v>
      </c>
      <c r="G58" s="9"/>
    </row>
    <row r="59" spans="1:8">
      <c r="A59" s="20" t="s">
        <v>237</v>
      </c>
      <c r="G59" s="9"/>
    </row>
    <row r="60" spans="1:8">
      <c r="A60" s="20" t="s">
        <v>136</v>
      </c>
      <c r="G60" s="9"/>
    </row>
    <row r="61" spans="1:8">
      <c r="A61" s="35" t="s">
        <v>308</v>
      </c>
      <c r="G61" s="9"/>
    </row>
    <row r="62" spans="1:8">
      <c r="A62" s="35" t="s">
        <v>310</v>
      </c>
      <c r="G62" s="9"/>
    </row>
    <row r="63" spans="1:8">
      <c r="A63" s="35" t="s">
        <v>318</v>
      </c>
      <c r="G63" s="9"/>
    </row>
    <row r="64" spans="1:8">
      <c r="A64" s="35" t="s">
        <v>321</v>
      </c>
      <c r="G64" s="9"/>
    </row>
    <row r="65" spans="1:7">
      <c r="A65" s="3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137</v>
      </c>
      <c r="C68"/>
      <c r="G68" s="9"/>
    </row>
    <row r="69" spans="1:7">
      <c r="A69" s="20" t="s">
        <v>130</v>
      </c>
      <c r="C69"/>
      <c r="G69" s="9"/>
    </row>
    <row r="70" spans="1:7">
      <c r="A70" s="20" t="s">
        <v>131</v>
      </c>
      <c r="G70" s="9"/>
    </row>
    <row r="71" spans="1:7">
      <c r="G71" s="9"/>
    </row>
    <row r="72" spans="1:7">
      <c r="G72" s="9"/>
    </row>
    <row r="73" spans="1:7">
      <c r="A73" s="20" t="s">
        <v>254</v>
      </c>
    </row>
    <row r="74" spans="1:7">
      <c r="A74" s="20" t="s">
        <v>52</v>
      </c>
    </row>
    <row r="75" spans="1:7">
      <c r="A75" s="20" t="s">
        <v>139</v>
      </c>
    </row>
    <row r="76" spans="1:7">
      <c r="A76" s="20" t="s">
        <v>147</v>
      </c>
      <c r="G76" s="9"/>
    </row>
    <row r="77" spans="1:7">
      <c r="A77" s="20" t="s">
        <v>238</v>
      </c>
      <c r="G77" s="9"/>
    </row>
    <row r="78" spans="1:7">
      <c r="A78" s="20" t="s">
        <v>220</v>
      </c>
      <c r="G78" s="9"/>
    </row>
    <row r="79" spans="1:7">
      <c r="A79" s="20" t="s">
        <v>228</v>
      </c>
    </row>
    <row r="80" spans="1:7">
      <c r="A80" s="20" t="s">
        <v>239</v>
      </c>
    </row>
    <row r="83" spans="1:1">
      <c r="A83" s="20" t="s">
        <v>141</v>
      </c>
    </row>
    <row r="84" spans="1:1">
      <c r="A84" s="20" t="s">
        <v>142</v>
      </c>
    </row>
    <row r="85" spans="1:1">
      <c r="A85" s="20" t="s">
        <v>143</v>
      </c>
    </row>
    <row r="86" spans="1:1">
      <c r="A86" s="20" t="s">
        <v>144</v>
      </c>
    </row>
    <row r="87" spans="1:1">
      <c r="A87" s="20" t="s">
        <v>145</v>
      </c>
    </row>
    <row r="88" spans="1:1">
      <c r="A88" s="20" t="s">
        <v>146</v>
      </c>
    </row>
    <row r="91" spans="1:1">
      <c r="A91" s="20" t="s">
        <v>174</v>
      </c>
    </row>
    <row r="92" spans="1:1">
      <c r="A92" s="20" t="s">
        <v>176</v>
      </c>
    </row>
    <row r="93" spans="1:1">
      <c r="A93" s="20" t="s">
        <v>180</v>
      </c>
    </row>
    <row r="94" spans="1:1">
      <c r="A94" s="20" t="s">
        <v>182</v>
      </c>
    </row>
    <row r="95" spans="1:1">
      <c r="A95" s="20" t="s">
        <v>185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66FB4210-D3C6-4A42-A333-1F4650DC9E16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9F73-0040-4D59-9C82-30F85D771054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43D32-A99A-4E98-9303-4807525AE18B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65036-017C-4D91-BC21-D3651E601CCC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player1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2025-04-16T06:38:27Z</dcterms:modified>
</cp:coreProperties>
</file>